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florida-my.sharepoint.com/personal/winner_ufl_edu/Documents/public_html/cases/"/>
    </mc:Choice>
  </mc:AlternateContent>
  <xr:revisionPtr revIDLastSave="0" documentId="11_D89BCA8A5E9E55396204D090E80CA0E1CEF98BDC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ormal pdf's" sheetId="4" r:id="rId1"/>
    <sheet name="ROC Curve" sheetId="5" r:id="rId2"/>
    <sheet name="Sheet1" sheetId="1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6" i="1" l="1"/>
  <c r="W20" i="1"/>
  <c r="Y20" i="1" s="1"/>
  <c r="X20" i="1"/>
  <c r="Z20" i="1" s="1"/>
  <c r="W21" i="1"/>
  <c r="Y21" i="1" s="1"/>
  <c r="X21" i="1"/>
  <c r="Z21" i="1" s="1"/>
  <c r="W22" i="1"/>
  <c r="Y22" i="1" s="1"/>
  <c r="X22" i="1"/>
  <c r="Z22" i="1" s="1"/>
  <c r="W23" i="1"/>
  <c r="Y23" i="1" s="1"/>
  <c r="X23" i="1"/>
  <c r="Z23" i="1" s="1"/>
  <c r="W24" i="1"/>
  <c r="Y24" i="1" s="1"/>
  <c r="X24" i="1"/>
  <c r="Z24" i="1" s="1"/>
  <c r="W25" i="1"/>
  <c r="Y25" i="1" s="1"/>
  <c r="X25" i="1"/>
  <c r="Z25" i="1" s="1"/>
  <c r="W26" i="1"/>
  <c r="Y26" i="1" s="1"/>
  <c r="X26" i="1"/>
  <c r="Z26" i="1" s="1"/>
  <c r="W27" i="1"/>
  <c r="Y27" i="1" s="1"/>
  <c r="X27" i="1"/>
  <c r="Z27" i="1" s="1"/>
  <c r="X19" i="1"/>
  <c r="Z19" i="1" s="1"/>
  <c r="W19" i="1"/>
  <c r="Y19" i="1" s="1"/>
  <c r="X7" i="1"/>
  <c r="AA7" i="1" s="1"/>
  <c r="X8" i="1"/>
  <c r="AA8" i="1" s="1"/>
  <c r="X9" i="1"/>
  <c r="AA9" i="1" s="1"/>
  <c r="X10" i="1"/>
  <c r="AA10" i="1" s="1"/>
  <c r="X11" i="1"/>
  <c r="AA11" i="1" s="1"/>
  <c r="X12" i="1"/>
  <c r="AA12" i="1" s="1"/>
  <c r="X13" i="1"/>
  <c r="AA13" i="1" s="1"/>
  <c r="X14" i="1"/>
  <c r="AA14" i="1" s="1"/>
  <c r="X6" i="1"/>
  <c r="AA6" i="1" s="1"/>
  <c r="W14" i="1"/>
  <c r="Y14" i="1" s="1"/>
  <c r="W13" i="1"/>
  <c r="Y13" i="1" s="1"/>
  <c r="W7" i="1"/>
  <c r="Y7" i="1" s="1"/>
  <c r="W8" i="1"/>
  <c r="Y8" i="1" s="1"/>
  <c r="W9" i="1"/>
  <c r="Y9" i="1" s="1"/>
  <c r="W10" i="1"/>
  <c r="Y10" i="1" s="1"/>
  <c r="W11" i="1"/>
  <c r="Y11" i="1" s="1"/>
  <c r="W12" i="1"/>
  <c r="Y12" i="1" s="1"/>
  <c r="W6" i="1"/>
  <c r="Y6" i="1" s="1"/>
  <c r="V100" i="1"/>
  <c r="U100" i="1"/>
  <c r="AC6" i="1" l="1"/>
  <c r="Z6" i="1"/>
  <c r="AD6" i="1" s="1"/>
  <c r="AA19" i="1" s="1"/>
  <c r="AC11" i="1"/>
  <c r="Z11" i="1"/>
  <c r="AD11" i="1" s="1"/>
  <c r="AA24" i="1" s="1"/>
  <c r="AC9" i="1"/>
  <c r="Z9" i="1"/>
  <c r="AD9" i="1" s="1"/>
  <c r="AA22" i="1" s="1"/>
  <c r="AC7" i="1"/>
  <c r="Z7" i="1"/>
  <c r="AD7" i="1" s="1"/>
  <c r="AA20" i="1" s="1"/>
  <c r="Z14" i="1"/>
  <c r="AD14" i="1" s="1"/>
  <c r="AA27" i="1" s="1"/>
  <c r="AC14" i="1"/>
  <c r="AB14" i="1"/>
  <c r="AF14" i="1" s="1"/>
  <c r="AB27" i="1" s="1"/>
  <c r="AE14" i="1"/>
  <c r="AB12" i="1"/>
  <c r="AF12" i="1" s="1"/>
  <c r="AB25" i="1" s="1"/>
  <c r="AE12" i="1"/>
  <c r="AB10" i="1"/>
  <c r="AF10" i="1" s="1"/>
  <c r="AB23" i="1" s="1"/>
  <c r="AE10" i="1"/>
  <c r="AB8" i="1"/>
  <c r="AF8" i="1" s="1"/>
  <c r="AB21" i="1" s="1"/>
  <c r="AE8" i="1"/>
  <c r="Z12" i="1"/>
  <c r="AD12" i="1" s="1"/>
  <c r="AA25" i="1" s="1"/>
  <c r="AC12" i="1"/>
  <c r="Z10" i="1"/>
  <c r="AD10" i="1" s="1"/>
  <c r="AA23" i="1" s="1"/>
  <c r="AC10" i="1"/>
  <c r="Z8" i="1"/>
  <c r="AD8" i="1" s="1"/>
  <c r="AA21" i="1" s="1"/>
  <c r="AC8" i="1"/>
  <c r="AC13" i="1"/>
  <c r="Z13" i="1"/>
  <c r="AD13" i="1" s="1"/>
  <c r="AA26" i="1" s="1"/>
  <c r="AE6" i="1"/>
  <c r="AB6" i="1"/>
  <c r="AF6" i="1" s="1"/>
  <c r="AB19" i="1" s="1"/>
  <c r="AC19" i="1" s="1"/>
  <c r="AD19" i="1" s="1"/>
  <c r="AE19" i="1" s="1"/>
  <c r="AB13" i="1"/>
  <c r="AF13" i="1" s="1"/>
  <c r="AB26" i="1" s="1"/>
  <c r="AC26" i="1" s="1"/>
  <c r="AD26" i="1" s="1"/>
  <c r="AE26" i="1" s="1"/>
  <c r="AE13" i="1"/>
  <c r="AB11" i="1"/>
  <c r="AF11" i="1" s="1"/>
  <c r="AB24" i="1" s="1"/>
  <c r="AC24" i="1" s="1"/>
  <c r="AD24" i="1" s="1"/>
  <c r="AE24" i="1" s="1"/>
  <c r="AE11" i="1"/>
  <c r="AB9" i="1"/>
  <c r="AF9" i="1" s="1"/>
  <c r="AB22" i="1" s="1"/>
  <c r="AC22" i="1" s="1"/>
  <c r="AD22" i="1" s="1"/>
  <c r="AE22" i="1" s="1"/>
  <c r="AE9" i="1"/>
  <c r="AB7" i="1"/>
  <c r="AF7" i="1" s="1"/>
  <c r="AB20" i="1" s="1"/>
  <c r="AE7" i="1"/>
  <c r="K105" i="1"/>
  <c r="L105" i="1" s="1"/>
  <c r="P105" i="1" s="1"/>
  <c r="H104" i="1"/>
  <c r="H103" i="1" s="1"/>
  <c r="H102" i="1" s="1"/>
  <c r="H101" i="1" s="1"/>
  <c r="H100" i="1" s="1"/>
  <c r="H99" i="1" s="1"/>
  <c r="H98" i="1" s="1"/>
  <c r="H97" i="1" s="1"/>
  <c r="H96" i="1" s="1"/>
  <c r="H95" i="1" s="1"/>
  <c r="H94" i="1" s="1"/>
  <c r="H93" i="1" s="1"/>
  <c r="H92" i="1" s="1"/>
  <c r="H91" i="1" s="1"/>
  <c r="H90" i="1" s="1"/>
  <c r="H89" i="1" s="1"/>
  <c r="H88" i="1" s="1"/>
  <c r="H87" i="1" s="1"/>
  <c r="H86" i="1" s="1"/>
  <c r="H85" i="1" s="1"/>
  <c r="H84" i="1" s="1"/>
  <c r="K84" i="1" s="1"/>
  <c r="L84" i="1" s="1"/>
  <c r="P84" i="1" s="1"/>
  <c r="K106" i="1"/>
  <c r="L106" i="1" s="1"/>
  <c r="P106" i="1" s="1"/>
  <c r="I106" i="1"/>
  <c r="J106" i="1" s="1"/>
  <c r="O106" i="1" s="1"/>
  <c r="Q106" i="1" s="1"/>
  <c r="I105" i="1"/>
  <c r="H107" i="1"/>
  <c r="H108" i="1" s="1"/>
  <c r="C2" i="1"/>
  <c r="B2" i="1"/>
  <c r="A3" i="1"/>
  <c r="AC20" i="1" l="1"/>
  <c r="AD20" i="1" s="1"/>
  <c r="AE20" i="1" s="1"/>
  <c r="AC27" i="1"/>
  <c r="AD27" i="1" s="1"/>
  <c r="AE27" i="1" s="1"/>
  <c r="AC21" i="1"/>
  <c r="AD21" i="1" s="1"/>
  <c r="AE21" i="1" s="1"/>
  <c r="AC23" i="1"/>
  <c r="AD23" i="1" s="1"/>
  <c r="AE23" i="1" s="1"/>
  <c r="AC25" i="1"/>
  <c r="AD25" i="1" s="1"/>
  <c r="AE25" i="1" s="1"/>
  <c r="H83" i="1"/>
  <c r="I104" i="1"/>
  <c r="J104" i="1" s="1"/>
  <c r="O104" i="1" s="1"/>
  <c r="Q104" i="1" s="1"/>
  <c r="I102" i="1"/>
  <c r="J102" i="1" s="1"/>
  <c r="O102" i="1" s="1"/>
  <c r="Q102" i="1" s="1"/>
  <c r="I100" i="1"/>
  <c r="J100" i="1" s="1"/>
  <c r="O100" i="1" s="1"/>
  <c r="Q100" i="1" s="1"/>
  <c r="I98" i="1"/>
  <c r="J98" i="1" s="1"/>
  <c r="O98" i="1" s="1"/>
  <c r="Q98" i="1" s="1"/>
  <c r="I96" i="1"/>
  <c r="J96" i="1" s="1"/>
  <c r="O96" i="1" s="1"/>
  <c r="Q96" i="1" s="1"/>
  <c r="I94" i="1"/>
  <c r="J94" i="1" s="1"/>
  <c r="O94" i="1" s="1"/>
  <c r="Q94" i="1" s="1"/>
  <c r="I92" i="1"/>
  <c r="J92" i="1" s="1"/>
  <c r="O92" i="1" s="1"/>
  <c r="Q92" i="1" s="1"/>
  <c r="I90" i="1"/>
  <c r="J90" i="1" s="1"/>
  <c r="O90" i="1" s="1"/>
  <c r="Q90" i="1" s="1"/>
  <c r="I88" i="1"/>
  <c r="J88" i="1" s="1"/>
  <c r="O88" i="1" s="1"/>
  <c r="Q88" i="1" s="1"/>
  <c r="I86" i="1"/>
  <c r="J86" i="1" s="1"/>
  <c r="O86" i="1" s="1"/>
  <c r="Q86" i="1" s="1"/>
  <c r="I84" i="1"/>
  <c r="J84" i="1" s="1"/>
  <c r="O84" i="1" s="1"/>
  <c r="Q84" i="1" s="1"/>
  <c r="K104" i="1"/>
  <c r="L104" i="1" s="1"/>
  <c r="P104" i="1" s="1"/>
  <c r="K102" i="1"/>
  <c r="L102" i="1" s="1"/>
  <c r="P102" i="1" s="1"/>
  <c r="K100" i="1"/>
  <c r="L100" i="1" s="1"/>
  <c r="P100" i="1" s="1"/>
  <c r="K98" i="1"/>
  <c r="L98" i="1" s="1"/>
  <c r="P98" i="1" s="1"/>
  <c r="K96" i="1"/>
  <c r="L96" i="1" s="1"/>
  <c r="P96" i="1" s="1"/>
  <c r="K94" i="1"/>
  <c r="L94" i="1" s="1"/>
  <c r="P94" i="1" s="1"/>
  <c r="K92" i="1"/>
  <c r="L92" i="1" s="1"/>
  <c r="P92" i="1" s="1"/>
  <c r="K90" i="1"/>
  <c r="L90" i="1" s="1"/>
  <c r="P90" i="1" s="1"/>
  <c r="K88" i="1"/>
  <c r="L88" i="1" s="1"/>
  <c r="P88" i="1" s="1"/>
  <c r="K86" i="1"/>
  <c r="L86" i="1" s="1"/>
  <c r="P86" i="1" s="1"/>
  <c r="J105" i="1"/>
  <c r="O105" i="1" s="1"/>
  <c r="Q105" i="1" s="1"/>
  <c r="I103" i="1"/>
  <c r="J103" i="1" s="1"/>
  <c r="O103" i="1" s="1"/>
  <c r="Q103" i="1" s="1"/>
  <c r="I101" i="1"/>
  <c r="J101" i="1" s="1"/>
  <c r="O101" i="1" s="1"/>
  <c r="Q101" i="1" s="1"/>
  <c r="I99" i="1"/>
  <c r="J99" i="1" s="1"/>
  <c r="O99" i="1" s="1"/>
  <c r="Q99" i="1" s="1"/>
  <c r="I97" i="1"/>
  <c r="J97" i="1" s="1"/>
  <c r="O97" i="1" s="1"/>
  <c r="Q97" i="1" s="1"/>
  <c r="I95" i="1"/>
  <c r="J95" i="1" s="1"/>
  <c r="O95" i="1" s="1"/>
  <c r="Q95" i="1" s="1"/>
  <c r="I93" i="1"/>
  <c r="J93" i="1" s="1"/>
  <c r="O93" i="1" s="1"/>
  <c r="Q93" i="1" s="1"/>
  <c r="I91" i="1"/>
  <c r="J91" i="1" s="1"/>
  <c r="O91" i="1" s="1"/>
  <c r="Q91" i="1" s="1"/>
  <c r="I89" i="1"/>
  <c r="J89" i="1" s="1"/>
  <c r="O89" i="1" s="1"/>
  <c r="Q89" i="1" s="1"/>
  <c r="I87" i="1"/>
  <c r="J87" i="1" s="1"/>
  <c r="O87" i="1" s="1"/>
  <c r="Q87" i="1" s="1"/>
  <c r="I85" i="1"/>
  <c r="J85" i="1" s="1"/>
  <c r="O85" i="1" s="1"/>
  <c r="Q85" i="1" s="1"/>
  <c r="K103" i="1"/>
  <c r="L103" i="1" s="1"/>
  <c r="P103" i="1" s="1"/>
  <c r="K101" i="1"/>
  <c r="L101" i="1" s="1"/>
  <c r="P101" i="1" s="1"/>
  <c r="K99" i="1"/>
  <c r="L99" i="1" s="1"/>
  <c r="P99" i="1" s="1"/>
  <c r="K97" i="1"/>
  <c r="L97" i="1" s="1"/>
  <c r="P97" i="1" s="1"/>
  <c r="K95" i="1"/>
  <c r="L95" i="1" s="1"/>
  <c r="P95" i="1" s="1"/>
  <c r="K93" i="1"/>
  <c r="L93" i="1" s="1"/>
  <c r="P93" i="1" s="1"/>
  <c r="K91" i="1"/>
  <c r="L91" i="1" s="1"/>
  <c r="P91" i="1" s="1"/>
  <c r="K89" i="1"/>
  <c r="L89" i="1" s="1"/>
  <c r="P89" i="1" s="1"/>
  <c r="K87" i="1"/>
  <c r="L87" i="1" s="1"/>
  <c r="P87" i="1" s="1"/>
  <c r="K85" i="1"/>
  <c r="L85" i="1" s="1"/>
  <c r="P85" i="1" s="1"/>
  <c r="H109" i="1"/>
  <c r="K108" i="1"/>
  <c r="L108" i="1" s="1"/>
  <c r="P108" i="1" s="1"/>
  <c r="I108" i="1"/>
  <c r="J108" i="1" s="1"/>
  <c r="O108" i="1" s="1"/>
  <c r="Q108" i="1" s="1"/>
  <c r="K107" i="1"/>
  <c r="L107" i="1" s="1"/>
  <c r="P107" i="1" s="1"/>
  <c r="I107" i="1"/>
  <c r="J107" i="1" s="1"/>
  <c r="O107" i="1" s="1"/>
  <c r="Q107" i="1" s="1"/>
  <c r="B3" i="1"/>
  <c r="C3" i="1"/>
  <c r="A4" i="1"/>
  <c r="H82" i="1" l="1"/>
  <c r="K83" i="1"/>
  <c r="L83" i="1" s="1"/>
  <c r="P83" i="1" s="1"/>
  <c r="I83" i="1"/>
  <c r="J83" i="1" s="1"/>
  <c r="O83" i="1" s="1"/>
  <c r="Q83" i="1" s="1"/>
  <c r="H110" i="1"/>
  <c r="K109" i="1"/>
  <c r="L109" i="1" s="1"/>
  <c r="P109" i="1" s="1"/>
  <c r="I109" i="1"/>
  <c r="J109" i="1" s="1"/>
  <c r="O109" i="1" s="1"/>
  <c r="Q109" i="1" s="1"/>
  <c r="B4" i="1"/>
  <c r="C4" i="1"/>
  <c r="A5" i="1"/>
  <c r="H81" i="1" l="1"/>
  <c r="K82" i="1"/>
  <c r="L82" i="1" s="1"/>
  <c r="P82" i="1" s="1"/>
  <c r="I82" i="1"/>
  <c r="J82" i="1" s="1"/>
  <c r="O82" i="1" s="1"/>
  <c r="Q82" i="1" s="1"/>
  <c r="H111" i="1"/>
  <c r="K110" i="1"/>
  <c r="L110" i="1" s="1"/>
  <c r="P110" i="1" s="1"/>
  <c r="I110" i="1"/>
  <c r="J110" i="1" s="1"/>
  <c r="O110" i="1" s="1"/>
  <c r="Q110" i="1" s="1"/>
  <c r="A6" i="1"/>
  <c r="B5" i="1"/>
  <c r="C5" i="1"/>
  <c r="H80" i="1" l="1"/>
  <c r="K81" i="1"/>
  <c r="L81" i="1" s="1"/>
  <c r="P81" i="1" s="1"/>
  <c r="I81" i="1"/>
  <c r="J81" i="1" s="1"/>
  <c r="O81" i="1" s="1"/>
  <c r="Q81" i="1" s="1"/>
  <c r="H112" i="1"/>
  <c r="I111" i="1"/>
  <c r="J111" i="1" s="1"/>
  <c r="O111" i="1" s="1"/>
  <c r="Q111" i="1" s="1"/>
  <c r="K111" i="1"/>
  <c r="L111" i="1" s="1"/>
  <c r="P111" i="1" s="1"/>
  <c r="A7" i="1"/>
  <c r="B6" i="1"/>
  <c r="C6" i="1"/>
  <c r="H79" i="1" l="1"/>
  <c r="K80" i="1"/>
  <c r="L80" i="1" s="1"/>
  <c r="P80" i="1" s="1"/>
  <c r="I80" i="1"/>
  <c r="J80" i="1" s="1"/>
  <c r="O80" i="1" s="1"/>
  <c r="Q80" i="1" s="1"/>
  <c r="H113" i="1"/>
  <c r="K112" i="1"/>
  <c r="L112" i="1" s="1"/>
  <c r="P112" i="1" s="1"/>
  <c r="I112" i="1"/>
  <c r="J112" i="1" s="1"/>
  <c r="O112" i="1" s="1"/>
  <c r="Q112" i="1" s="1"/>
  <c r="A8" i="1"/>
  <c r="B7" i="1"/>
  <c r="C7" i="1"/>
  <c r="H78" i="1" l="1"/>
  <c r="K79" i="1"/>
  <c r="L79" i="1" s="1"/>
  <c r="P79" i="1" s="1"/>
  <c r="I79" i="1"/>
  <c r="J79" i="1" s="1"/>
  <c r="O79" i="1" s="1"/>
  <c r="Q79" i="1" s="1"/>
  <c r="H114" i="1"/>
  <c r="K113" i="1"/>
  <c r="L113" i="1" s="1"/>
  <c r="P113" i="1" s="1"/>
  <c r="I113" i="1"/>
  <c r="J113" i="1" s="1"/>
  <c r="O113" i="1" s="1"/>
  <c r="Q113" i="1" s="1"/>
  <c r="A9" i="1"/>
  <c r="B8" i="1"/>
  <c r="C8" i="1"/>
  <c r="H77" i="1" l="1"/>
  <c r="K78" i="1"/>
  <c r="L78" i="1" s="1"/>
  <c r="P78" i="1" s="1"/>
  <c r="I78" i="1"/>
  <c r="J78" i="1" s="1"/>
  <c r="O78" i="1" s="1"/>
  <c r="Q78" i="1" s="1"/>
  <c r="H115" i="1"/>
  <c r="K114" i="1"/>
  <c r="L114" i="1" s="1"/>
  <c r="P114" i="1" s="1"/>
  <c r="I114" i="1"/>
  <c r="J114" i="1" s="1"/>
  <c r="O114" i="1" s="1"/>
  <c r="Q114" i="1" s="1"/>
  <c r="A10" i="1"/>
  <c r="B9" i="1"/>
  <c r="C9" i="1"/>
  <c r="H76" i="1" l="1"/>
  <c r="K77" i="1"/>
  <c r="L77" i="1" s="1"/>
  <c r="P77" i="1" s="1"/>
  <c r="I77" i="1"/>
  <c r="J77" i="1" s="1"/>
  <c r="O77" i="1" s="1"/>
  <c r="Q77" i="1" s="1"/>
  <c r="H116" i="1"/>
  <c r="I115" i="1"/>
  <c r="J115" i="1" s="1"/>
  <c r="O115" i="1" s="1"/>
  <c r="Q115" i="1" s="1"/>
  <c r="K115" i="1"/>
  <c r="L115" i="1" s="1"/>
  <c r="P115" i="1" s="1"/>
  <c r="A11" i="1"/>
  <c r="B10" i="1"/>
  <c r="C10" i="1"/>
  <c r="H75" i="1" l="1"/>
  <c r="K76" i="1"/>
  <c r="L76" i="1" s="1"/>
  <c r="P76" i="1" s="1"/>
  <c r="I76" i="1"/>
  <c r="J76" i="1" s="1"/>
  <c r="O76" i="1" s="1"/>
  <c r="Q76" i="1" s="1"/>
  <c r="H117" i="1"/>
  <c r="K116" i="1"/>
  <c r="L116" i="1" s="1"/>
  <c r="P116" i="1" s="1"/>
  <c r="I116" i="1"/>
  <c r="J116" i="1" s="1"/>
  <c r="O116" i="1" s="1"/>
  <c r="Q116" i="1" s="1"/>
  <c r="A12" i="1"/>
  <c r="B11" i="1"/>
  <c r="C11" i="1"/>
  <c r="H74" i="1" l="1"/>
  <c r="K75" i="1"/>
  <c r="L75" i="1" s="1"/>
  <c r="P75" i="1" s="1"/>
  <c r="I75" i="1"/>
  <c r="J75" i="1" s="1"/>
  <c r="O75" i="1" s="1"/>
  <c r="Q75" i="1" s="1"/>
  <c r="H118" i="1"/>
  <c r="K117" i="1"/>
  <c r="L117" i="1" s="1"/>
  <c r="P117" i="1" s="1"/>
  <c r="I117" i="1"/>
  <c r="J117" i="1" s="1"/>
  <c r="O117" i="1" s="1"/>
  <c r="Q117" i="1" s="1"/>
  <c r="A13" i="1"/>
  <c r="B12" i="1"/>
  <c r="C12" i="1"/>
  <c r="H73" i="1" l="1"/>
  <c r="K74" i="1"/>
  <c r="L74" i="1" s="1"/>
  <c r="P74" i="1" s="1"/>
  <c r="I74" i="1"/>
  <c r="J74" i="1" s="1"/>
  <c r="O74" i="1" s="1"/>
  <c r="Q74" i="1" s="1"/>
  <c r="H119" i="1"/>
  <c r="K118" i="1"/>
  <c r="L118" i="1" s="1"/>
  <c r="P118" i="1" s="1"/>
  <c r="I118" i="1"/>
  <c r="J118" i="1" s="1"/>
  <c r="O118" i="1" s="1"/>
  <c r="Q118" i="1" s="1"/>
  <c r="A14" i="1"/>
  <c r="B13" i="1"/>
  <c r="C13" i="1"/>
  <c r="H72" i="1" l="1"/>
  <c r="K73" i="1"/>
  <c r="L73" i="1" s="1"/>
  <c r="P73" i="1" s="1"/>
  <c r="I73" i="1"/>
  <c r="J73" i="1" s="1"/>
  <c r="O73" i="1" s="1"/>
  <c r="Q73" i="1" s="1"/>
  <c r="H120" i="1"/>
  <c r="I119" i="1"/>
  <c r="J119" i="1" s="1"/>
  <c r="O119" i="1" s="1"/>
  <c r="Q119" i="1" s="1"/>
  <c r="K119" i="1"/>
  <c r="L119" i="1" s="1"/>
  <c r="P119" i="1" s="1"/>
  <c r="A15" i="1"/>
  <c r="B14" i="1"/>
  <c r="C14" i="1"/>
  <c r="H71" i="1" l="1"/>
  <c r="K72" i="1"/>
  <c r="L72" i="1" s="1"/>
  <c r="P72" i="1" s="1"/>
  <c r="I72" i="1"/>
  <c r="J72" i="1" s="1"/>
  <c r="O72" i="1" s="1"/>
  <c r="Q72" i="1" s="1"/>
  <c r="H121" i="1"/>
  <c r="K120" i="1"/>
  <c r="L120" i="1" s="1"/>
  <c r="P120" i="1" s="1"/>
  <c r="I120" i="1"/>
  <c r="J120" i="1" s="1"/>
  <c r="O120" i="1" s="1"/>
  <c r="Q120" i="1" s="1"/>
  <c r="A16" i="1"/>
  <c r="B15" i="1"/>
  <c r="C15" i="1"/>
  <c r="H70" i="1" l="1"/>
  <c r="K71" i="1"/>
  <c r="L71" i="1" s="1"/>
  <c r="P71" i="1" s="1"/>
  <c r="I71" i="1"/>
  <c r="J71" i="1" s="1"/>
  <c r="O71" i="1" s="1"/>
  <c r="Q71" i="1" s="1"/>
  <c r="H122" i="1"/>
  <c r="K121" i="1"/>
  <c r="L121" i="1" s="1"/>
  <c r="P121" i="1" s="1"/>
  <c r="I121" i="1"/>
  <c r="J121" i="1" s="1"/>
  <c r="O121" i="1" s="1"/>
  <c r="Q121" i="1" s="1"/>
  <c r="A17" i="1"/>
  <c r="B16" i="1"/>
  <c r="C16" i="1"/>
  <c r="H69" i="1" l="1"/>
  <c r="K70" i="1"/>
  <c r="L70" i="1" s="1"/>
  <c r="P70" i="1" s="1"/>
  <c r="I70" i="1"/>
  <c r="J70" i="1" s="1"/>
  <c r="O70" i="1" s="1"/>
  <c r="Q70" i="1" s="1"/>
  <c r="H123" i="1"/>
  <c r="K122" i="1"/>
  <c r="L122" i="1" s="1"/>
  <c r="P122" i="1" s="1"/>
  <c r="I122" i="1"/>
  <c r="J122" i="1" s="1"/>
  <c r="O122" i="1" s="1"/>
  <c r="Q122" i="1" s="1"/>
  <c r="A18" i="1"/>
  <c r="B17" i="1"/>
  <c r="C17" i="1"/>
  <c r="H68" i="1" l="1"/>
  <c r="H67" i="1" s="1"/>
  <c r="K69" i="1"/>
  <c r="L69" i="1" s="1"/>
  <c r="P69" i="1" s="1"/>
  <c r="I69" i="1"/>
  <c r="J69" i="1" s="1"/>
  <c r="O69" i="1" s="1"/>
  <c r="Q69" i="1" s="1"/>
  <c r="H124" i="1"/>
  <c r="I123" i="1"/>
  <c r="J123" i="1" s="1"/>
  <c r="O123" i="1" s="1"/>
  <c r="Q123" i="1" s="1"/>
  <c r="K123" i="1"/>
  <c r="L123" i="1" s="1"/>
  <c r="P123" i="1" s="1"/>
  <c r="A19" i="1"/>
  <c r="B18" i="1"/>
  <c r="C18" i="1"/>
  <c r="H66" i="1" l="1"/>
  <c r="I67" i="1"/>
  <c r="J67" i="1" s="1"/>
  <c r="O67" i="1" s="1"/>
  <c r="Q67" i="1" s="1"/>
  <c r="K67" i="1"/>
  <c r="L67" i="1" s="1"/>
  <c r="P67" i="1" s="1"/>
  <c r="K68" i="1"/>
  <c r="L68" i="1" s="1"/>
  <c r="P68" i="1" s="1"/>
  <c r="I68" i="1"/>
  <c r="J68" i="1" s="1"/>
  <c r="O68" i="1" s="1"/>
  <c r="Q68" i="1" s="1"/>
  <c r="H125" i="1"/>
  <c r="K124" i="1"/>
  <c r="L124" i="1" s="1"/>
  <c r="P124" i="1" s="1"/>
  <c r="I124" i="1"/>
  <c r="J124" i="1" s="1"/>
  <c r="O124" i="1" s="1"/>
  <c r="Q124" i="1" s="1"/>
  <c r="A20" i="1"/>
  <c r="B19" i="1"/>
  <c r="C19" i="1"/>
  <c r="H65" i="1" l="1"/>
  <c r="K66" i="1"/>
  <c r="L66" i="1" s="1"/>
  <c r="P66" i="1" s="1"/>
  <c r="I66" i="1"/>
  <c r="J66" i="1" s="1"/>
  <c r="O66" i="1" s="1"/>
  <c r="Q66" i="1" s="1"/>
  <c r="H126" i="1"/>
  <c r="K125" i="1"/>
  <c r="L125" i="1" s="1"/>
  <c r="P125" i="1" s="1"/>
  <c r="I125" i="1"/>
  <c r="J125" i="1" s="1"/>
  <c r="O125" i="1" s="1"/>
  <c r="Q125" i="1" s="1"/>
  <c r="A21" i="1"/>
  <c r="B20" i="1"/>
  <c r="C20" i="1"/>
  <c r="H64" i="1" l="1"/>
  <c r="K65" i="1"/>
  <c r="L65" i="1" s="1"/>
  <c r="P65" i="1" s="1"/>
  <c r="I65" i="1"/>
  <c r="J65" i="1" s="1"/>
  <c r="O65" i="1" s="1"/>
  <c r="Q65" i="1" s="1"/>
  <c r="H127" i="1"/>
  <c r="K126" i="1"/>
  <c r="L126" i="1" s="1"/>
  <c r="P126" i="1" s="1"/>
  <c r="I126" i="1"/>
  <c r="J126" i="1" s="1"/>
  <c r="O126" i="1" s="1"/>
  <c r="Q126" i="1" s="1"/>
  <c r="A22" i="1"/>
  <c r="B21" i="1"/>
  <c r="C21" i="1"/>
  <c r="I64" i="1" l="1"/>
  <c r="J64" i="1" s="1"/>
  <c r="O64" i="1" s="1"/>
  <c r="Q64" i="1" s="1"/>
  <c r="H63" i="1"/>
  <c r="K64" i="1"/>
  <c r="L64" i="1" s="1"/>
  <c r="P64" i="1" s="1"/>
  <c r="H128" i="1"/>
  <c r="I127" i="1"/>
  <c r="J127" i="1" s="1"/>
  <c r="O127" i="1" s="1"/>
  <c r="Q127" i="1" s="1"/>
  <c r="K127" i="1"/>
  <c r="L127" i="1" s="1"/>
  <c r="P127" i="1" s="1"/>
  <c r="A23" i="1"/>
  <c r="B22" i="1"/>
  <c r="C22" i="1"/>
  <c r="I63" i="1" l="1"/>
  <c r="J63" i="1" s="1"/>
  <c r="O63" i="1" s="1"/>
  <c r="Q63" i="1" s="1"/>
  <c r="H62" i="1"/>
  <c r="K63" i="1"/>
  <c r="L63" i="1" s="1"/>
  <c r="P63" i="1" s="1"/>
  <c r="H129" i="1"/>
  <c r="K128" i="1"/>
  <c r="L128" i="1" s="1"/>
  <c r="P128" i="1" s="1"/>
  <c r="I128" i="1"/>
  <c r="J128" i="1" s="1"/>
  <c r="O128" i="1" s="1"/>
  <c r="Q128" i="1" s="1"/>
  <c r="A24" i="1"/>
  <c r="B23" i="1"/>
  <c r="C23" i="1"/>
  <c r="I62" i="1" l="1"/>
  <c r="J62" i="1" s="1"/>
  <c r="O62" i="1" s="1"/>
  <c r="Q62" i="1" s="1"/>
  <c r="H61" i="1"/>
  <c r="K62" i="1"/>
  <c r="L62" i="1" s="1"/>
  <c r="P62" i="1" s="1"/>
  <c r="H130" i="1"/>
  <c r="K129" i="1"/>
  <c r="L129" i="1" s="1"/>
  <c r="P129" i="1" s="1"/>
  <c r="I129" i="1"/>
  <c r="J129" i="1" s="1"/>
  <c r="O129" i="1" s="1"/>
  <c r="Q129" i="1" s="1"/>
  <c r="A25" i="1"/>
  <c r="B24" i="1"/>
  <c r="C24" i="1"/>
  <c r="I61" i="1" l="1"/>
  <c r="J61" i="1" s="1"/>
  <c r="O61" i="1" s="1"/>
  <c r="Q61" i="1" s="1"/>
  <c r="H60" i="1"/>
  <c r="K61" i="1"/>
  <c r="L61" i="1" s="1"/>
  <c r="P61" i="1" s="1"/>
  <c r="H131" i="1"/>
  <c r="K130" i="1"/>
  <c r="L130" i="1" s="1"/>
  <c r="P130" i="1" s="1"/>
  <c r="I130" i="1"/>
  <c r="J130" i="1" s="1"/>
  <c r="O130" i="1" s="1"/>
  <c r="Q130" i="1" s="1"/>
  <c r="A26" i="1"/>
  <c r="B25" i="1"/>
  <c r="C25" i="1"/>
  <c r="H59" i="1" l="1"/>
  <c r="K60" i="1"/>
  <c r="L60" i="1" s="1"/>
  <c r="P60" i="1" s="1"/>
  <c r="I60" i="1"/>
  <c r="J60" i="1" s="1"/>
  <c r="O60" i="1" s="1"/>
  <c r="Q60" i="1" s="1"/>
  <c r="H132" i="1"/>
  <c r="I131" i="1"/>
  <c r="J131" i="1" s="1"/>
  <c r="O131" i="1" s="1"/>
  <c r="Q131" i="1" s="1"/>
  <c r="K131" i="1"/>
  <c r="L131" i="1" s="1"/>
  <c r="P131" i="1" s="1"/>
  <c r="A27" i="1"/>
  <c r="B26" i="1"/>
  <c r="C26" i="1"/>
  <c r="H58" i="1" l="1"/>
  <c r="K59" i="1"/>
  <c r="L59" i="1" s="1"/>
  <c r="P59" i="1" s="1"/>
  <c r="I59" i="1"/>
  <c r="J59" i="1" s="1"/>
  <c r="O59" i="1" s="1"/>
  <c r="Q59" i="1" s="1"/>
  <c r="H133" i="1"/>
  <c r="K132" i="1"/>
  <c r="L132" i="1" s="1"/>
  <c r="P132" i="1" s="1"/>
  <c r="I132" i="1"/>
  <c r="J132" i="1" s="1"/>
  <c r="O132" i="1" s="1"/>
  <c r="Q132" i="1" s="1"/>
  <c r="A28" i="1"/>
  <c r="B27" i="1"/>
  <c r="C27" i="1"/>
  <c r="H57" i="1" l="1"/>
  <c r="K58" i="1"/>
  <c r="L58" i="1" s="1"/>
  <c r="P58" i="1" s="1"/>
  <c r="I58" i="1"/>
  <c r="J58" i="1" s="1"/>
  <c r="O58" i="1" s="1"/>
  <c r="Q58" i="1" s="1"/>
  <c r="H134" i="1"/>
  <c r="K133" i="1"/>
  <c r="L133" i="1" s="1"/>
  <c r="P133" i="1" s="1"/>
  <c r="I133" i="1"/>
  <c r="J133" i="1" s="1"/>
  <c r="O133" i="1" s="1"/>
  <c r="Q133" i="1" s="1"/>
  <c r="A29" i="1"/>
  <c r="B28" i="1"/>
  <c r="C28" i="1"/>
  <c r="H56" i="1" l="1"/>
  <c r="H55" i="1" s="1"/>
  <c r="K57" i="1"/>
  <c r="L57" i="1" s="1"/>
  <c r="P57" i="1" s="1"/>
  <c r="I57" i="1"/>
  <c r="J57" i="1" s="1"/>
  <c r="O57" i="1" s="1"/>
  <c r="Q57" i="1" s="1"/>
  <c r="H135" i="1"/>
  <c r="K134" i="1"/>
  <c r="L134" i="1" s="1"/>
  <c r="P134" i="1" s="1"/>
  <c r="I134" i="1"/>
  <c r="J134" i="1" s="1"/>
  <c r="O134" i="1" s="1"/>
  <c r="Q134" i="1" s="1"/>
  <c r="A30" i="1"/>
  <c r="B29" i="1"/>
  <c r="C29" i="1"/>
  <c r="H54" i="1" l="1"/>
  <c r="K55" i="1"/>
  <c r="L55" i="1" s="1"/>
  <c r="P55" i="1" s="1"/>
  <c r="I55" i="1"/>
  <c r="J55" i="1" s="1"/>
  <c r="O55" i="1" s="1"/>
  <c r="Q55" i="1" s="1"/>
  <c r="I56" i="1"/>
  <c r="J56" i="1" s="1"/>
  <c r="O56" i="1" s="1"/>
  <c r="Q56" i="1" s="1"/>
  <c r="K56" i="1"/>
  <c r="L56" i="1" s="1"/>
  <c r="P56" i="1" s="1"/>
  <c r="H136" i="1"/>
  <c r="H137" i="1" s="1"/>
  <c r="I135" i="1"/>
  <c r="J135" i="1" s="1"/>
  <c r="O135" i="1" s="1"/>
  <c r="Q135" i="1" s="1"/>
  <c r="K135" i="1"/>
  <c r="L135" i="1" s="1"/>
  <c r="P135" i="1" s="1"/>
  <c r="A31" i="1"/>
  <c r="B30" i="1"/>
  <c r="C30" i="1"/>
  <c r="H53" i="1" l="1"/>
  <c r="K54" i="1"/>
  <c r="L54" i="1" s="1"/>
  <c r="P54" i="1" s="1"/>
  <c r="I54" i="1"/>
  <c r="J54" i="1" s="1"/>
  <c r="O54" i="1" s="1"/>
  <c r="Q54" i="1" s="1"/>
  <c r="I137" i="1"/>
  <c r="J137" i="1" s="1"/>
  <c r="O137" i="1" s="1"/>
  <c r="Q137" i="1" s="1"/>
  <c r="H138" i="1"/>
  <c r="K137" i="1"/>
  <c r="L137" i="1" s="1"/>
  <c r="P137" i="1" s="1"/>
  <c r="K136" i="1"/>
  <c r="L136" i="1" s="1"/>
  <c r="P136" i="1" s="1"/>
  <c r="I136" i="1"/>
  <c r="J136" i="1" s="1"/>
  <c r="O136" i="1" s="1"/>
  <c r="Q136" i="1" s="1"/>
  <c r="A32" i="1"/>
  <c r="B31" i="1"/>
  <c r="C31" i="1"/>
  <c r="H52" i="1" l="1"/>
  <c r="K53" i="1"/>
  <c r="L53" i="1" s="1"/>
  <c r="P53" i="1" s="1"/>
  <c r="I53" i="1"/>
  <c r="J53" i="1" s="1"/>
  <c r="O53" i="1" s="1"/>
  <c r="Q53" i="1" s="1"/>
  <c r="K138" i="1"/>
  <c r="L138" i="1" s="1"/>
  <c r="P138" i="1" s="1"/>
  <c r="I138" i="1"/>
  <c r="J138" i="1" s="1"/>
  <c r="O138" i="1" s="1"/>
  <c r="Q138" i="1" s="1"/>
  <c r="H139" i="1"/>
  <c r="A33" i="1"/>
  <c r="B32" i="1"/>
  <c r="C32" i="1"/>
  <c r="H51" i="1" l="1"/>
  <c r="K52" i="1"/>
  <c r="L52" i="1" s="1"/>
  <c r="P52" i="1" s="1"/>
  <c r="I52" i="1"/>
  <c r="J52" i="1" s="1"/>
  <c r="O52" i="1" s="1"/>
  <c r="Q52" i="1" s="1"/>
  <c r="I139" i="1"/>
  <c r="J139" i="1" s="1"/>
  <c r="O139" i="1" s="1"/>
  <c r="Q139" i="1" s="1"/>
  <c r="H140" i="1"/>
  <c r="K139" i="1"/>
  <c r="L139" i="1" s="1"/>
  <c r="P139" i="1" s="1"/>
  <c r="A34" i="1"/>
  <c r="B33" i="1"/>
  <c r="C33" i="1"/>
  <c r="H50" i="1" l="1"/>
  <c r="K51" i="1"/>
  <c r="L51" i="1" s="1"/>
  <c r="P51" i="1" s="1"/>
  <c r="I51" i="1"/>
  <c r="J51" i="1" s="1"/>
  <c r="O51" i="1" s="1"/>
  <c r="Q51" i="1" s="1"/>
  <c r="I140" i="1"/>
  <c r="J140" i="1" s="1"/>
  <c r="O140" i="1" s="1"/>
  <c r="Q140" i="1" s="1"/>
  <c r="H141" i="1"/>
  <c r="K140" i="1"/>
  <c r="L140" i="1" s="1"/>
  <c r="P140" i="1" s="1"/>
  <c r="A35" i="1"/>
  <c r="B34" i="1"/>
  <c r="C34" i="1"/>
  <c r="H49" i="1" l="1"/>
  <c r="K50" i="1"/>
  <c r="L50" i="1" s="1"/>
  <c r="P50" i="1" s="1"/>
  <c r="I50" i="1"/>
  <c r="J50" i="1" s="1"/>
  <c r="O50" i="1" s="1"/>
  <c r="Q50" i="1" s="1"/>
  <c r="I141" i="1"/>
  <c r="J141" i="1" s="1"/>
  <c r="O141" i="1" s="1"/>
  <c r="Q141" i="1" s="1"/>
  <c r="H142" i="1"/>
  <c r="K141" i="1"/>
  <c r="L141" i="1" s="1"/>
  <c r="P141" i="1" s="1"/>
  <c r="A36" i="1"/>
  <c r="B35" i="1"/>
  <c r="C35" i="1"/>
  <c r="H48" i="1" l="1"/>
  <c r="K49" i="1"/>
  <c r="L49" i="1" s="1"/>
  <c r="P49" i="1" s="1"/>
  <c r="I49" i="1"/>
  <c r="J49" i="1" s="1"/>
  <c r="O49" i="1" s="1"/>
  <c r="Q49" i="1" s="1"/>
  <c r="I142" i="1"/>
  <c r="J142" i="1" s="1"/>
  <c r="O142" i="1" s="1"/>
  <c r="Q142" i="1" s="1"/>
  <c r="H143" i="1"/>
  <c r="K142" i="1"/>
  <c r="L142" i="1" s="1"/>
  <c r="P142" i="1" s="1"/>
  <c r="A37" i="1"/>
  <c r="B36" i="1"/>
  <c r="C36" i="1"/>
  <c r="H47" i="1" l="1"/>
  <c r="K48" i="1"/>
  <c r="L48" i="1" s="1"/>
  <c r="P48" i="1" s="1"/>
  <c r="I48" i="1"/>
  <c r="J48" i="1" s="1"/>
  <c r="O48" i="1" s="1"/>
  <c r="Q48" i="1" s="1"/>
  <c r="K143" i="1"/>
  <c r="L143" i="1" s="1"/>
  <c r="P143" i="1" s="1"/>
  <c r="I143" i="1"/>
  <c r="J143" i="1" s="1"/>
  <c r="O143" i="1" s="1"/>
  <c r="Q143" i="1" s="1"/>
  <c r="H144" i="1"/>
  <c r="A38" i="1"/>
  <c r="B37" i="1"/>
  <c r="C37" i="1"/>
  <c r="H46" i="1" l="1"/>
  <c r="K47" i="1"/>
  <c r="L47" i="1" s="1"/>
  <c r="P47" i="1" s="1"/>
  <c r="I47" i="1"/>
  <c r="J47" i="1" s="1"/>
  <c r="O47" i="1" s="1"/>
  <c r="Q47" i="1" s="1"/>
  <c r="K144" i="1"/>
  <c r="L144" i="1" s="1"/>
  <c r="P144" i="1" s="1"/>
  <c r="I144" i="1"/>
  <c r="J144" i="1" s="1"/>
  <c r="O144" i="1" s="1"/>
  <c r="Q144" i="1" s="1"/>
  <c r="H145" i="1"/>
  <c r="A39" i="1"/>
  <c r="B38" i="1"/>
  <c r="C38" i="1"/>
  <c r="H45" i="1" l="1"/>
  <c r="K46" i="1"/>
  <c r="L46" i="1" s="1"/>
  <c r="P46" i="1" s="1"/>
  <c r="I46" i="1"/>
  <c r="J46" i="1" s="1"/>
  <c r="O46" i="1" s="1"/>
  <c r="Q46" i="1" s="1"/>
  <c r="K145" i="1"/>
  <c r="L145" i="1" s="1"/>
  <c r="P145" i="1" s="1"/>
  <c r="I145" i="1"/>
  <c r="J145" i="1" s="1"/>
  <c r="O145" i="1" s="1"/>
  <c r="Q145" i="1" s="1"/>
  <c r="H146" i="1"/>
  <c r="A40" i="1"/>
  <c r="B39" i="1"/>
  <c r="C39" i="1"/>
  <c r="H44" i="1" l="1"/>
  <c r="K45" i="1"/>
  <c r="L45" i="1" s="1"/>
  <c r="P45" i="1" s="1"/>
  <c r="I45" i="1"/>
  <c r="J45" i="1" s="1"/>
  <c r="O45" i="1" s="1"/>
  <c r="Q45" i="1" s="1"/>
  <c r="K146" i="1"/>
  <c r="L146" i="1" s="1"/>
  <c r="P146" i="1" s="1"/>
  <c r="I146" i="1"/>
  <c r="J146" i="1" s="1"/>
  <c r="O146" i="1" s="1"/>
  <c r="Q146" i="1" s="1"/>
  <c r="H147" i="1"/>
  <c r="A41" i="1"/>
  <c r="B40" i="1"/>
  <c r="C40" i="1"/>
  <c r="H43" i="1" l="1"/>
  <c r="K44" i="1"/>
  <c r="L44" i="1" s="1"/>
  <c r="P44" i="1" s="1"/>
  <c r="I44" i="1"/>
  <c r="J44" i="1" s="1"/>
  <c r="O44" i="1" s="1"/>
  <c r="Q44" i="1" s="1"/>
  <c r="K147" i="1"/>
  <c r="L147" i="1" s="1"/>
  <c r="P147" i="1" s="1"/>
  <c r="I147" i="1"/>
  <c r="J147" i="1" s="1"/>
  <c r="O147" i="1" s="1"/>
  <c r="Q147" i="1" s="1"/>
  <c r="H148" i="1"/>
  <c r="A42" i="1"/>
  <c r="B41" i="1"/>
  <c r="C41" i="1"/>
  <c r="H42" i="1" l="1"/>
  <c r="K43" i="1"/>
  <c r="L43" i="1" s="1"/>
  <c r="P43" i="1" s="1"/>
  <c r="I43" i="1"/>
  <c r="J43" i="1" s="1"/>
  <c r="O43" i="1" s="1"/>
  <c r="Q43" i="1" s="1"/>
  <c r="K148" i="1"/>
  <c r="L148" i="1" s="1"/>
  <c r="P148" i="1" s="1"/>
  <c r="I148" i="1"/>
  <c r="J148" i="1" s="1"/>
  <c r="O148" i="1" s="1"/>
  <c r="Q148" i="1" s="1"/>
  <c r="H149" i="1"/>
  <c r="A43" i="1"/>
  <c r="B42" i="1"/>
  <c r="C42" i="1"/>
  <c r="H41" i="1" l="1"/>
  <c r="K42" i="1"/>
  <c r="L42" i="1" s="1"/>
  <c r="P42" i="1" s="1"/>
  <c r="I42" i="1"/>
  <c r="J42" i="1" s="1"/>
  <c r="O42" i="1" s="1"/>
  <c r="Q42" i="1" s="1"/>
  <c r="K149" i="1"/>
  <c r="L149" i="1" s="1"/>
  <c r="P149" i="1" s="1"/>
  <c r="I149" i="1"/>
  <c r="J149" i="1" s="1"/>
  <c r="O149" i="1" s="1"/>
  <c r="Q149" i="1" s="1"/>
  <c r="H150" i="1"/>
  <c r="A44" i="1"/>
  <c r="B43" i="1"/>
  <c r="C43" i="1"/>
  <c r="H40" i="1" l="1"/>
  <c r="K41" i="1"/>
  <c r="L41" i="1" s="1"/>
  <c r="P41" i="1" s="1"/>
  <c r="I41" i="1"/>
  <c r="J41" i="1" s="1"/>
  <c r="O41" i="1" s="1"/>
  <c r="Q41" i="1" s="1"/>
  <c r="K150" i="1"/>
  <c r="L150" i="1" s="1"/>
  <c r="P150" i="1" s="1"/>
  <c r="I150" i="1"/>
  <c r="J150" i="1" s="1"/>
  <c r="O150" i="1" s="1"/>
  <c r="Q150" i="1" s="1"/>
  <c r="H151" i="1"/>
  <c r="A45" i="1"/>
  <c r="B44" i="1"/>
  <c r="C44" i="1"/>
  <c r="H39" i="1" l="1"/>
  <c r="K40" i="1"/>
  <c r="L40" i="1" s="1"/>
  <c r="P40" i="1" s="1"/>
  <c r="I40" i="1"/>
  <c r="J40" i="1" s="1"/>
  <c r="O40" i="1" s="1"/>
  <c r="Q40" i="1" s="1"/>
  <c r="K151" i="1"/>
  <c r="L151" i="1" s="1"/>
  <c r="P151" i="1" s="1"/>
  <c r="I151" i="1"/>
  <c r="J151" i="1" s="1"/>
  <c r="O151" i="1" s="1"/>
  <c r="Q151" i="1" s="1"/>
  <c r="H152" i="1"/>
  <c r="A46" i="1"/>
  <c r="B45" i="1"/>
  <c r="C45" i="1"/>
  <c r="H38" i="1" l="1"/>
  <c r="K39" i="1"/>
  <c r="L39" i="1" s="1"/>
  <c r="P39" i="1" s="1"/>
  <c r="I39" i="1"/>
  <c r="J39" i="1" s="1"/>
  <c r="O39" i="1" s="1"/>
  <c r="Q39" i="1" s="1"/>
  <c r="K152" i="1"/>
  <c r="L152" i="1" s="1"/>
  <c r="P152" i="1" s="1"/>
  <c r="I152" i="1"/>
  <c r="J152" i="1" s="1"/>
  <c r="O152" i="1" s="1"/>
  <c r="Q152" i="1" s="1"/>
  <c r="H153" i="1"/>
  <c r="A47" i="1"/>
  <c r="B46" i="1"/>
  <c r="C46" i="1"/>
  <c r="H37" i="1" l="1"/>
  <c r="K38" i="1"/>
  <c r="L38" i="1" s="1"/>
  <c r="P38" i="1" s="1"/>
  <c r="I38" i="1"/>
  <c r="J38" i="1" s="1"/>
  <c r="O38" i="1" s="1"/>
  <c r="Q38" i="1" s="1"/>
  <c r="I153" i="1"/>
  <c r="J153" i="1" s="1"/>
  <c r="O153" i="1" s="1"/>
  <c r="Q153" i="1" s="1"/>
  <c r="H154" i="1"/>
  <c r="K153" i="1"/>
  <c r="L153" i="1" s="1"/>
  <c r="P153" i="1" s="1"/>
  <c r="A48" i="1"/>
  <c r="B47" i="1"/>
  <c r="C47" i="1"/>
  <c r="H36" i="1" l="1"/>
  <c r="K37" i="1"/>
  <c r="L37" i="1" s="1"/>
  <c r="P37" i="1" s="1"/>
  <c r="I37" i="1"/>
  <c r="J37" i="1" s="1"/>
  <c r="O37" i="1" s="1"/>
  <c r="Q37" i="1" s="1"/>
  <c r="I154" i="1"/>
  <c r="J154" i="1" s="1"/>
  <c r="O154" i="1" s="1"/>
  <c r="Q154" i="1" s="1"/>
  <c r="H155" i="1"/>
  <c r="K154" i="1"/>
  <c r="L154" i="1" s="1"/>
  <c r="P154" i="1" s="1"/>
  <c r="A49" i="1"/>
  <c r="B48" i="1"/>
  <c r="C48" i="1"/>
  <c r="H35" i="1" l="1"/>
  <c r="K36" i="1"/>
  <c r="L36" i="1" s="1"/>
  <c r="P36" i="1" s="1"/>
  <c r="I36" i="1"/>
  <c r="J36" i="1" s="1"/>
  <c r="O36" i="1" s="1"/>
  <c r="Q36" i="1" s="1"/>
  <c r="I155" i="1"/>
  <c r="J155" i="1" s="1"/>
  <c r="O155" i="1" s="1"/>
  <c r="Q155" i="1" s="1"/>
  <c r="H156" i="1"/>
  <c r="K155" i="1"/>
  <c r="L155" i="1" s="1"/>
  <c r="P155" i="1" s="1"/>
  <c r="A50" i="1"/>
  <c r="B49" i="1"/>
  <c r="C49" i="1"/>
  <c r="H34" i="1" l="1"/>
  <c r="K35" i="1"/>
  <c r="L35" i="1" s="1"/>
  <c r="P35" i="1" s="1"/>
  <c r="I35" i="1"/>
  <c r="J35" i="1" s="1"/>
  <c r="O35" i="1" s="1"/>
  <c r="Q35" i="1" s="1"/>
  <c r="K156" i="1"/>
  <c r="L156" i="1" s="1"/>
  <c r="P156" i="1" s="1"/>
  <c r="I156" i="1"/>
  <c r="J156" i="1" s="1"/>
  <c r="O156" i="1" s="1"/>
  <c r="Q156" i="1" s="1"/>
  <c r="H157" i="1"/>
  <c r="A51" i="1"/>
  <c r="B50" i="1"/>
  <c r="C50" i="1"/>
  <c r="H33" i="1" l="1"/>
  <c r="K34" i="1"/>
  <c r="L34" i="1" s="1"/>
  <c r="P34" i="1" s="1"/>
  <c r="I34" i="1"/>
  <c r="J34" i="1" s="1"/>
  <c r="O34" i="1" s="1"/>
  <c r="Q34" i="1" s="1"/>
  <c r="K157" i="1"/>
  <c r="L157" i="1" s="1"/>
  <c r="P157" i="1" s="1"/>
  <c r="I157" i="1"/>
  <c r="J157" i="1" s="1"/>
  <c r="O157" i="1" s="1"/>
  <c r="Q157" i="1" s="1"/>
  <c r="H158" i="1"/>
  <c r="A52" i="1"/>
  <c r="B51" i="1"/>
  <c r="C51" i="1"/>
  <c r="H32" i="1" l="1"/>
  <c r="H31" i="1" s="1"/>
  <c r="K33" i="1"/>
  <c r="L33" i="1" s="1"/>
  <c r="P33" i="1" s="1"/>
  <c r="I33" i="1"/>
  <c r="J33" i="1" s="1"/>
  <c r="O33" i="1" s="1"/>
  <c r="Q33" i="1" s="1"/>
  <c r="I158" i="1"/>
  <c r="J158" i="1" s="1"/>
  <c r="O158" i="1" s="1"/>
  <c r="Q158" i="1" s="1"/>
  <c r="H159" i="1"/>
  <c r="K158" i="1"/>
  <c r="L158" i="1" s="1"/>
  <c r="P158" i="1" s="1"/>
  <c r="A53" i="1"/>
  <c r="B52" i="1"/>
  <c r="C52" i="1"/>
  <c r="H30" i="1" l="1"/>
  <c r="K31" i="1"/>
  <c r="L31" i="1" s="1"/>
  <c r="P31" i="1" s="1"/>
  <c r="I31" i="1"/>
  <c r="J31" i="1" s="1"/>
  <c r="O31" i="1" s="1"/>
  <c r="Q31" i="1" s="1"/>
  <c r="K32" i="1"/>
  <c r="L32" i="1" s="1"/>
  <c r="P32" i="1" s="1"/>
  <c r="I32" i="1"/>
  <c r="J32" i="1" s="1"/>
  <c r="O32" i="1" s="1"/>
  <c r="Q32" i="1" s="1"/>
  <c r="I159" i="1"/>
  <c r="J159" i="1" s="1"/>
  <c r="O159" i="1" s="1"/>
  <c r="Q159" i="1" s="1"/>
  <c r="H160" i="1"/>
  <c r="K159" i="1"/>
  <c r="L159" i="1" s="1"/>
  <c r="P159" i="1" s="1"/>
  <c r="A54" i="1"/>
  <c r="B53" i="1"/>
  <c r="C53" i="1"/>
  <c r="H29" i="1" l="1"/>
  <c r="K30" i="1"/>
  <c r="L30" i="1" s="1"/>
  <c r="P30" i="1" s="1"/>
  <c r="I30" i="1"/>
  <c r="J30" i="1" s="1"/>
  <c r="O30" i="1" s="1"/>
  <c r="Q30" i="1" s="1"/>
  <c r="K160" i="1"/>
  <c r="L160" i="1" s="1"/>
  <c r="P160" i="1" s="1"/>
  <c r="I160" i="1"/>
  <c r="J160" i="1" s="1"/>
  <c r="O160" i="1" s="1"/>
  <c r="Q160" i="1" s="1"/>
  <c r="H161" i="1"/>
  <c r="A55" i="1"/>
  <c r="B54" i="1"/>
  <c r="C54" i="1"/>
  <c r="H28" i="1" l="1"/>
  <c r="K29" i="1"/>
  <c r="L29" i="1" s="1"/>
  <c r="P29" i="1" s="1"/>
  <c r="I29" i="1"/>
  <c r="J29" i="1" s="1"/>
  <c r="O29" i="1" s="1"/>
  <c r="Q29" i="1" s="1"/>
  <c r="K161" i="1"/>
  <c r="L161" i="1" s="1"/>
  <c r="P161" i="1" s="1"/>
  <c r="I161" i="1"/>
  <c r="J161" i="1" s="1"/>
  <c r="O161" i="1" s="1"/>
  <c r="Q161" i="1" s="1"/>
  <c r="H162" i="1"/>
  <c r="A56" i="1"/>
  <c r="B55" i="1"/>
  <c r="C55" i="1"/>
  <c r="H27" i="1" l="1"/>
  <c r="K28" i="1"/>
  <c r="L28" i="1" s="1"/>
  <c r="P28" i="1" s="1"/>
  <c r="I28" i="1"/>
  <c r="J28" i="1" s="1"/>
  <c r="O28" i="1" s="1"/>
  <c r="Q28" i="1" s="1"/>
  <c r="K162" i="1"/>
  <c r="L162" i="1" s="1"/>
  <c r="P162" i="1" s="1"/>
  <c r="I162" i="1"/>
  <c r="J162" i="1" s="1"/>
  <c r="O162" i="1" s="1"/>
  <c r="Q162" i="1" s="1"/>
  <c r="H163" i="1"/>
  <c r="A57" i="1"/>
  <c r="B56" i="1"/>
  <c r="C56" i="1"/>
  <c r="H26" i="1" l="1"/>
  <c r="K27" i="1"/>
  <c r="L27" i="1" s="1"/>
  <c r="P27" i="1" s="1"/>
  <c r="I27" i="1"/>
  <c r="J27" i="1" s="1"/>
  <c r="O27" i="1" s="1"/>
  <c r="Q27" i="1" s="1"/>
  <c r="K163" i="1"/>
  <c r="L163" i="1" s="1"/>
  <c r="P163" i="1" s="1"/>
  <c r="I163" i="1"/>
  <c r="J163" i="1" s="1"/>
  <c r="O163" i="1" s="1"/>
  <c r="Q163" i="1" s="1"/>
  <c r="H164" i="1"/>
  <c r="A58" i="1"/>
  <c r="B57" i="1"/>
  <c r="C57" i="1"/>
  <c r="H25" i="1" l="1"/>
  <c r="K26" i="1"/>
  <c r="L26" i="1" s="1"/>
  <c r="P26" i="1" s="1"/>
  <c r="I26" i="1"/>
  <c r="J26" i="1" s="1"/>
  <c r="O26" i="1" s="1"/>
  <c r="Q26" i="1" s="1"/>
  <c r="I164" i="1"/>
  <c r="J164" i="1" s="1"/>
  <c r="O164" i="1" s="1"/>
  <c r="Q164" i="1" s="1"/>
  <c r="H165" i="1"/>
  <c r="K164" i="1"/>
  <c r="L164" i="1" s="1"/>
  <c r="P164" i="1" s="1"/>
  <c r="A59" i="1"/>
  <c r="B58" i="1"/>
  <c r="C58" i="1"/>
  <c r="H24" i="1" l="1"/>
  <c r="K25" i="1"/>
  <c r="L25" i="1" s="1"/>
  <c r="P25" i="1" s="1"/>
  <c r="I25" i="1"/>
  <c r="J25" i="1" s="1"/>
  <c r="O25" i="1" s="1"/>
  <c r="Q25" i="1" s="1"/>
  <c r="I165" i="1"/>
  <c r="J165" i="1" s="1"/>
  <c r="O165" i="1" s="1"/>
  <c r="Q165" i="1" s="1"/>
  <c r="H166" i="1"/>
  <c r="K165" i="1"/>
  <c r="L165" i="1" s="1"/>
  <c r="P165" i="1" s="1"/>
  <c r="A60" i="1"/>
  <c r="B59" i="1"/>
  <c r="C59" i="1"/>
  <c r="H23" i="1" l="1"/>
  <c r="K24" i="1"/>
  <c r="L24" i="1" s="1"/>
  <c r="P24" i="1" s="1"/>
  <c r="I24" i="1"/>
  <c r="J24" i="1" s="1"/>
  <c r="O24" i="1" s="1"/>
  <c r="Q24" i="1" s="1"/>
  <c r="H167" i="1"/>
  <c r="K166" i="1"/>
  <c r="L166" i="1" s="1"/>
  <c r="P166" i="1" s="1"/>
  <c r="I166" i="1"/>
  <c r="J166" i="1" s="1"/>
  <c r="O166" i="1" s="1"/>
  <c r="Q166" i="1" s="1"/>
  <c r="A61" i="1"/>
  <c r="B60" i="1"/>
  <c r="C60" i="1"/>
  <c r="H22" i="1" l="1"/>
  <c r="K23" i="1"/>
  <c r="L23" i="1" s="1"/>
  <c r="P23" i="1" s="1"/>
  <c r="I23" i="1"/>
  <c r="J23" i="1" s="1"/>
  <c r="O23" i="1" s="1"/>
  <c r="Q23" i="1" s="1"/>
  <c r="I167" i="1"/>
  <c r="J167" i="1" s="1"/>
  <c r="O167" i="1" s="1"/>
  <c r="Q167" i="1" s="1"/>
  <c r="H168" i="1"/>
  <c r="K167" i="1"/>
  <c r="L167" i="1" s="1"/>
  <c r="P167" i="1" s="1"/>
  <c r="A62" i="1"/>
  <c r="B61" i="1"/>
  <c r="C61" i="1"/>
  <c r="H21" i="1" l="1"/>
  <c r="K22" i="1"/>
  <c r="L22" i="1" s="1"/>
  <c r="P22" i="1" s="1"/>
  <c r="I22" i="1"/>
  <c r="J22" i="1" s="1"/>
  <c r="O22" i="1" s="1"/>
  <c r="Q22" i="1" s="1"/>
  <c r="I168" i="1"/>
  <c r="J168" i="1" s="1"/>
  <c r="O168" i="1" s="1"/>
  <c r="Q168" i="1" s="1"/>
  <c r="H169" i="1"/>
  <c r="K168" i="1"/>
  <c r="L168" i="1" s="1"/>
  <c r="P168" i="1" s="1"/>
  <c r="A63" i="1"/>
  <c r="B62" i="1"/>
  <c r="C62" i="1"/>
  <c r="H20" i="1" l="1"/>
  <c r="H19" i="1" s="1"/>
  <c r="K21" i="1"/>
  <c r="L21" i="1" s="1"/>
  <c r="P21" i="1" s="1"/>
  <c r="I21" i="1"/>
  <c r="J21" i="1" s="1"/>
  <c r="O21" i="1" s="1"/>
  <c r="Q21" i="1" s="1"/>
  <c r="I169" i="1"/>
  <c r="J169" i="1" s="1"/>
  <c r="O169" i="1" s="1"/>
  <c r="Q169" i="1" s="1"/>
  <c r="H170" i="1"/>
  <c r="K169" i="1"/>
  <c r="L169" i="1" s="1"/>
  <c r="P169" i="1" s="1"/>
  <c r="A64" i="1"/>
  <c r="B63" i="1"/>
  <c r="C63" i="1"/>
  <c r="H18" i="1" l="1"/>
  <c r="K19" i="1"/>
  <c r="L19" i="1" s="1"/>
  <c r="P19" i="1" s="1"/>
  <c r="I19" i="1"/>
  <c r="J19" i="1" s="1"/>
  <c r="O19" i="1" s="1"/>
  <c r="Q19" i="1" s="1"/>
  <c r="K20" i="1"/>
  <c r="L20" i="1" s="1"/>
  <c r="P20" i="1" s="1"/>
  <c r="I20" i="1"/>
  <c r="J20" i="1" s="1"/>
  <c r="O20" i="1" s="1"/>
  <c r="Q20" i="1" s="1"/>
  <c r="K170" i="1"/>
  <c r="L170" i="1" s="1"/>
  <c r="P170" i="1" s="1"/>
  <c r="I170" i="1"/>
  <c r="J170" i="1" s="1"/>
  <c r="O170" i="1" s="1"/>
  <c r="Q170" i="1" s="1"/>
  <c r="H171" i="1"/>
  <c r="A65" i="1"/>
  <c r="B64" i="1"/>
  <c r="C64" i="1"/>
  <c r="H17" i="1" l="1"/>
  <c r="K18" i="1"/>
  <c r="L18" i="1" s="1"/>
  <c r="P18" i="1" s="1"/>
  <c r="I18" i="1"/>
  <c r="J18" i="1" s="1"/>
  <c r="O18" i="1" s="1"/>
  <c r="Q18" i="1" s="1"/>
  <c r="K171" i="1"/>
  <c r="L171" i="1" s="1"/>
  <c r="P171" i="1" s="1"/>
  <c r="I171" i="1"/>
  <c r="J171" i="1" s="1"/>
  <c r="O171" i="1" s="1"/>
  <c r="Q171" i="1" s="1"/>
  <c r="H172" i="1"/>
  <c r="A66" i="1"/>
  <c r="B65" i="1"/>
  <c r="C65" i="1"/>
  <c r="H16" i="1" l="1"/>
  <c r="K17" i="1"/>
  <c r="L17" i="1" s="1"/>
  <c r="P17" i="1" s="1"/>
  <c r="I17" i="1"/>
  <c r="J17" i="1" s="1"/>
  <c r="O17" i="1" s="1"/>
  <c r="Q17" i="1" s="1"/>
  <c r="K172" i="1"/>
  <c r="L172" i="1" s="1"/>
  <c r="P172" i="1" s="1"/>
  <c r="I172" i="1"/>
  <c r="J172" i="1" s="1"/>
  <c r="O172" i="1" s="1"/>
  <c r="Q172" i="1" s="1"/>
  <c r="H173" i="1"/>
  <c r="A67" i="1"/>
  <c r="B66" i="1"/>
  <c r="C66" i="1"/>
  <c r="H15" i="1" l="1"/>
  <c r="K16" i="1"/>
  <c r="L16" i="1" s="1"/>
  <c r="P16" i="1" s="1"/>
  <c r="I16" i="1"/>
  <c r="J16" i="1" s="1"/>
  <c r="O16" i="1" s="1"/>
  <c r="Q16" i="1" s="1"/>
  <c r="K173" i="1"/>
  <c r="L173" i="1" s="1"/>
  <c r="P173" i="1" s="1"/>
  <c r="I173" i="1"/>
  <c r="J173" i="1" s="1"/>
  <c r="O173" i="1" s="1"/>
  <c r="Q173" i="1" s="1"/>
  <c r="H174" i="1"/>
  <c r="A68" i="1"/>
  <c r="B67" i="1"/>
  <c r="C67" i="1"/>
  <c r="H14" i="1" l="1"/>
  <c r="K15" i="1"/>
  <c r="L15" i="1" s="1"/>
  <c r="P15" i="1" s="1"/>
  <c r="I15" i="1"/>
  <c r="J15" i="1" s="1"/>
  <c r="O15" i="1" s="1"/>
  <c r="Q15" i="1" s="1"/>
  <c r="I174" i="1"/>
  <c r="J174" i="1" s="1"/>
  <c r="O174" i="1" s="1"/>
  <c r="Q174" i="1" s="1"/>
  <c r="H175" i="1"/>
  <c r="K174" i="1"/>
  <c r="L174" i="1" s="1"/>
  <c r="P174" i="1" s="1"/>
  <c r="A69" i="1"/>
  <c r="B68" i="1"/>
  <c r="C68" i="1"/>
  <c r="H13" i="1" l="1"/>
  <c r="K14" i="1"/>
  <c r="L14" i="1" s="1"/>
  <c r="P14" i="1" s="1"/>
  <c r="I14" i="1"/>
  <c r="J14" i="1" s="1"/>
  <c r="O14" i="1" s="1"/>
  <c r="Q14" i="1" s="1"/>
  <c r="I175" i="1"/>
  <c r="J175" i="1" s="1"/>
  <c r="O175" i="1" s="1"/>
  <c r="Q175" i="1" s="1"/>
  <c r="H176" i="1"/>
  <c r="K175" i="1"/>
  <c r="L175" i="1" s="1"/>
  <c r="P175" i="1" s="1"/>
  <c r="A70" i="1"/>
  <c r="B69" i="1"/>
  <c r="C69" i="1"/>
  <c r="H12" i="1" l="1"/>
  <c r="K13" i="1"/>
  <c r="L13" i="1" s="1"/>
  <c r="P13" i="1" s="1"/>
  <c r="I13" i="1"/>
  <c r="J13" i="1" s="1"/>
  <c r="O13" i="1" s="1"/>
  <c r="Q13" i="1" s="1"/>
  <c r="I176" i="1"/>
  <c r="J176" i="1" s="1"/>
  <c r="O176" i="1" s="1"/>
  <c r="Q176" i="1" s="1"/>
  <c r="H177" i="1"/>
  <c r="K176" i="1"/>
  <c r="L176" i="1" s="1"/>
  <c r="P176" i="1" s="1"/>
  <c r="A71" i="1"/>
  <c r="B70" i="1"/>
  <c r="C70" i="1"/>
  <c r="H11" i="1" l="1"/>
  <c r="K12" i="1"/>
  <c r="L12" i="1" s="1"/>
  <c r="P12" i="1" s="1"/>
  <c r="I12" i="1"/>
  <c r="J12" i="1" s="1"/>
  <c r="O12" i="1" s="1"/>
  <c r="Q12" i="1" s="1"/>
  <c r="I177" i="1"/>
  <c r="J177" i="1" s="1"/>
  <c r="O177" i="1" s="1"/>
  <c r="Q177" i="1" s="1"/>
  <c r="H178" i="1"/>
  <c r="K177" i="1"/>
  <c r="L177" i="1" s="1"/>
  <c r="P177" i="1" s="1"/>
  <c r="A72" i="1"/>
  <c r="B71" i="1"/>
  <c r="C71" i="1"/>
  <c r="H10" i="1" l="1"/>
  <c r="K11" i="1"/>
  <c r="L11" i="1" s="1"/>
  <c r="P11" i="1" s="1"/>
  <c r="I11" i="1"/>
  <c r="J11" i="1" s="1"/>
  <c r="O11" i="1" s="1"/>
  <c r="Q11" i="1" s="1"/>
  <c r="I178" i="1"/>
  <c r="J178" i="1" s="1"/>
  <c r="O178" i="1" s="1"/>
  <c r="Q178" i="1" s="1"/>
  <c r="H179" i="1"/>
  <c r="K178" i="1"/>
  <c r="L178" i="1" s="1"/>
  <c r="P178" i="1" s="1"/>
  <c r="A73" i="1"/>
  <c r="B72" i="1"/>
  <c r="C72" i="1"/>
  <c r="H9" i="1" l="1"/>
  <c r="K10" i="1"/>
  <c r="L10" i="1" s="1"/>
  <c r="P10" i="1" s="1"/>
  <c r="I10" i="1"/>
  <c r="J10" i="1" s="1"/>
  <c r="O10" i="1" s="1"/>
  <c r="Q10" i="1" s="1"/>
  <c r="I179" i="1"/>
  <c r="J179" i="1" s="1"/>
  <c r="O179" i="1" s="1"/>
  <c r="Q179" i="1" s="1"/>
  <c r="H180" i="1"/>
  <c r="K179" i="1"/>
  <c r="L179" i="1" s="1"/>
  <c r="P179" i="1" s="1"/>
  <c r="A74" i="1"/>
  <c r="B73" i="1"/>
  <c r="C73" i="1"/>
  <c r="H8" i="1" l="1"/>
  <c r="K9" i="1"/>
  <c r="L9" i="1" s="1"/>
  <c r="P9" i="1" s="1"/>
  <c r="I9" i="1"/>
  <c r="J9" i="1" s="1"/>
  <c r="O9" i="1" s="1"/>
  <c r="Q9" i="1" s="1"/>
  <c r="I180" i="1"/>
  <c r="J180" i="1" s="1"/>
  <c r="O180" i="1" s="1"/>
  <c r="Q180" i="1" s="1"/>
  <c r="H181" i="1"/>
  <c r="K180" i="1"/>
  <c r="L180" i="1" s="1"/>
  <c r="P180" i="1" s="1"/>
  <c r="A75" i="1"/>
  <c r="B74" i="1"/>
  <c r="C74" i="1"/>
  <c r="H7" i="1" l="1"/>
  <c r="K8" i="1"/>
  <c r="L8" i="1" s="1"/>
  <c r="P8" i="1" s="1"/>
  <c r="I8" i="1"/>
  <c r="J8" i="1" s="1"/>
  <c r="O8" i="1" s="1"/>
  <c r="Q8" i="1" s="1"/>
  <c r="I181" i="1"/>
  <c r="J181" i="1" s="1"/>
  <c r="O181" i="1" s="1"/>
  <c r="Q181" i="1" s="1"/>
  <c r="H182" i="1"/>
  <c r="K181" i="1"/>
  <c r="L181" i="1" s="1"/>
  <c r="P181" i="1" s="1"/>
  <c r="A76" i="1"/>
  <c r="B75" i="1"/>
  <c r="C75" i="1"/>
  <c r="H6" i="1" l="1"/>
  <c r="K7" i="1"/>
  <c r="L7" i="1" s="1"/>
  <c r="P7" i="1" s="1"/>
  <c r="I7" i="1"/>
  <c r="J7" i="1" s="1"/>
  <c r="O7" i="1" s="1"/>
  <c r="Q7" i="1" s="1"/>
  <c r="I182" i="1"/>
  <c r="J182" i="1" s="1"/>
  <c r="O182" i="1" s="1"/>
  <c r="Q182" i="1" s="1"/>
  <c r="H183" i="1"/>
  <c r="K182" i="1"/>
  <c r="L182" i="1" s="1"/>
  <c r="P182" i="1" s="1"/>
  <c r="A77" i="1"/>
  <c r="B76" i="1"/>
  <c r="C76" i="1"/>
  <c r="K6" i="1" l="1"/>
  <c r="L6" i="1" s="1"/>
  <c r="I6" i="1"/>
  <c r="J6" i="1" s="1"/>
  <c r="O6" i="1" s="1"/>
  <c r="Q6" i="1" s="1"/>
  <c r="I183" i="1"/>
  <c r="J183" i="1" s="1"/>
  <c r="O183" i="1" s="1"/>
  <c r="Q183" i="1" s="1"/>
  <c r="H184" i="1"/>
  <c r="K183" i="1"/>
  <c r="L183" i="1" s="1"/>
  <c r="P183" i="1" s="1"/>
  <c r="A78" i="1"/>
  <c r="B77" i="1"/>
  <c r="C77" i="1"/>
  <c r="P6" i="1" l="1"/>
  <c r="K184" i="1"/>
  <c r="L184" i="1" s="1"/>
  <c r="P184" i="1" s="1"/>
  <c r="I184" i="1"/>
  <c r="J184" i="1" s="1"/>
  <c r="O184" i="1" s="1"/>
  <c r="Q184" i="1" s="1"/>
  <c r="H185" i="1"/>
  <c r="A79" i="1"/>
  <c r="B78" i="1"/>
  <c r="C78" i="1"/>
  <c r="K185" i="1" l="1"/>
  <c r="L185" i="1" s="1"/>
  <c r="I185" i="1"/>
  <c r="J185" i="1" s="1"/>
  <c r="O185" i="1" s="1"/>
  <c r="Q185" i="1" s="1"/>
  <c r="H186" i="1"/>
  <c r="A80" i="1"/>
  <c r="B79" i="1"/>
  <c r="C79" i="1"/>
  <c r="P185" i="1" l="1"/>
  <c r="K186" i="1"/>
  <c r="L186" i="1" s="1"/>
  <c r="P186" i="1" s="1"/>
  <c r="I186" i="1"/>
  <c r="J186" i="1" s="1"/>
  <c r="O186" i="1" s="1"/>
  <c r="Q186" i="1" s="1"/>
  <c r="H187" i="1"/>
  <c r="A81" i="1"/>
  <c r="B80" i="1"/>
  <c r="C80" i="1"/>
  <c r="I187" i="1" l="1"/>
  <c r="J187" i="1" s="1"/>
  <c r="O187" i="1" s="1"/>
  <c r="Q187" i="1" s="1"/>
  <c r="H188" i="1"/>
  <c r="K187" i="1"/>
  <c r="L187" i="1" s="1"/>
  <c r="P187" i="1" s="1"/>
  <c r="A82" i="1"/>
  <c r="B81" i="1"/>
  <c r="C81" i="1"/>
  <c r="H189" i="1" l="1"/>
  <c r="K188" i="1"/>
  <c r="L188" i="1" s="1"/>
  <c r="P188" i="1" s="1"/>
  <c r="I188" i="1"/>
  <c r="J188" i="1" s="1"/>
  <c r="O188" i="1" s="1"/>
  <c r="Q188" i="1" s="1"/>
  <c r="A83" i="1"/>
  <c r="B82" i="1"/>
  <c r="C82" i="1"/>
  <c r="I189" i="1" l="1"/>
  <c r="J189" i="1" s="1"/>
  <c r="O189" i="1" s="1"/>
  <c r="Q189" i="1" s="1"/>
  <c r="H190" i="1"/>
  <c r="K189" i="1"/>
  <c r="L189" i="1" s="1"/>
  <c r="A84" i="1"/>
  <c r="B83" i="1"/>
  <c r="C83" i="1"/>
  <c r="P189" i="1" l="1"/>
  <c r="K190" i="1"/>
  <c r="L190" i="1" s="1"/>
  <c r="P190" i="1" s="1"/>
  <c r="I190" i="1"/>
  <c r="J190" i="1" s="1"/>
  <c r="O190" i="1" s="1"/>
  <c r="Q190" i="1" s="1"/>
  <c r="H191" i="1"/>
  <c r="A85" i="1"/>
  <c r="B84" i="1"/>
  <c r="C84" i="1"/>
  <c r="I191" i="1" l="1"/>
  <c r="J191" i="1" s="1"/>
  <c r="O191" i="1" s="1"/>
  <c r="Q191" i="1" s="1"/>
  <c r="K191" i="1"/>
  <c r="L191" i="1" s="1"/>
  <c r="P191" i="1" s="1"/>
  <c r="H192" i="1"/>
  <c r="A86" i="1"/>
  <c r="B85" i="1"/>
  <c r="C85" i="1"/>
  <c r="H193" i="1" l="1"/>
  <c r="I192" i="1"/>
  <c r="J192" i="1" s="1"/>
  <c r="O192" i="1" s="1"/>
  <c r="Q192" i="1" s="1"/>
  <c r="K192" i="1"/>
  <c r="L192" i="1" s="1"/>
  <c r="P192" i="1" s="1"/>
  <c r="A87" i="1"/>
  <c r="B86" i="1"/>
  <c r="C86" i="1"/>
  <c r="I193" i="1" l="1"/>
  <c r="J193" i="1" s="1"/>
  <c r="O193" i="1" s="1"/>
  <c r="Q193" i="1" s="1"/>
  <c r="H194" i="1"/>
  <c r="K193" i="1"/>
  <c r="L193" i="1" s="1"/>
  <c r="P193" i="1" s="1"/>
  <c r="A88" i="1"/>
  <c r="B87" i="1"/>
  <c r="C87" i="1"/>
  <c r="I194" i="1" l="1"/>
  <c r="J194" i="1" s="1"/>
  <c r="O194" i="1" s="1"/>
  <c r="Q194" i="1" s="1"/>
  <c r="H195" i="1"/>
  <c r="K194" i="1"/>
  <c r="L194" i="1" s="1"/>
  <c r="P194" i="1" s="1"/>
  <c r="A89" i="1"/>
  <c r="B88" i="1"/>
  <c r="C88" i="1"/>
  <c r="I195" i="1" l="1"/>
  <c r="J195" i="1" s="1"/>
  <c r="O195" i="1" s="1"/>
  <c r="Q195" i="1" s="1"/>
  <c r="H196" i="1"/>
  <c r="K195" i="1"/>
  <c r="L195" i="1" s="1"/>
  <c r="P195" i="1" s="1"/>
  <c r="A90" i="1"/>
  <c r="B89" i="1"/>
  <c r="C89" i="1"/>
  <c r="H197" i="1" l="1"/>
  <c r="I196" i="1"/>
  <c r="J196" i="1" s="1"/>
  <c r="O196" i="1" s="1"/>
  <c r="Q196" i="1" s="1"/>
  <c r="K196" i="1"/>
  <c r="L196" i="1" s="1"/>
  <c r="P196" i="1" s="1"/>
  <c r="A91" i="1"/>
  <c r="B90" i="1"/>
  <c r="C90" i="1"/>
  <c r="I197" i="1" l="1"/>
  <c r="J197" i="1" s="1"/>
  <c r="O197" i="1" s="1"/>
  <c r="Q197" i="1" s="1"/>
  <c r="K197" i="1"/>
  <c r="L197" i="1" s="1"/>
  <c r="P197" i="1" s="1"/>
  <c r="H198" i="1"/>
  <c r="A92" i="1"/>
  <c r="B91" i="1"/>
  <c r="C91" i="1"/>
  <c r="I198" i="1" l="1"/>
  <c r="J198" i="1" s="1"/>
  <c r="O198" i="1" s="1"/>
  <c r="Q198" i="1" s="1"/>
  <c r="H199" i="1"/>
  <c r="K198" i="1"/>
  <c r="L198" i="1" s="1"/>
  <c r="P198" i="1" s="1"/>
  <c r="A93" i="1"/>
  <c r="B92" i="1"/>
  <c r="C92" i="1"/>
  <c r="H200" i="1" l="1"/>
  <c r="I199" i="1"/>
  <c r="J199" i="1" s="1"/>
  <c r="O199" i="1" s="1"/>
  <c r="Q199" i="1" s="1"/>
  <c r="K199" i="1"/>
  <c r="L199" i="1" s="1"/>
  <c r="P199" i="1" s="1"/>
  <c r="A94" i="1"/>
  <c r="B93" i="1"/>
  <c r="C93" i="1"/>
  <c r="I200" i="1" l="1"/>
  <c r="J200" i="1" s="1"/>
  <c r="O200" i="1" s="1"/>
  <c r="Q200" i="1" s="1"/>
  <c r="H201" i="1"/>
  <c r="K200" i="1"/>
  <c r="L200" i="1" s="1"/>
  <c r="P200" i="1" s="1"/>
  <c r="A95" i="1"/>
  <c r="B94" i="1"/>
  <c r="C94" i="1"/>
  <c r="I201" i="1" l="1"/>
  <c r="J201" i="1" s="1"/>
  <c r="O201" i="1" s="1"/>
  <c r="Q201" i="1" s="1"/>
  <c r="H202" i="1"/>
  <c r="K201" i="1"/>
  <c r="L201" i="1" s="1"/>
  <c r="P201" i="1" s="1"/>
  <c r="A96" i="1"/>
  <c r="B95" i="1"/>
  <c r="C95" i="1"/>
  <c r="I202" i="1" l="1"/>
  <c r="J202" i="1" s="1"/>
  <c r="O202" i="1" s="1"/>
  <c r="Q202" i="1" s="1"/>
  <c r="K202" i="1"/>
  <c r="L202" i="1" s="1"/>
  <c r="A97" i="1"/>
  <c r="B96" i="1"/>
  <c r="C96" i="1"/>
  <c r="P202" i="1" l="1"/>
  <c r="L205" i="1"/>
  <c r="L207" i="1" s="1"/>
  <c r="L211" i="1"/>
  <c r="A98" i="1"/>
  <c r="B97" i="1"/>
  <c r="C97" i="1"/>
  <c r="A99" i="1" l="1"/>
  <c r="B98" i="1"/>
  <c r="C98" i="1"/>
  <c r="A100" i="1" l="1"/>
  <c r="B99" i="1"/>
  <c r="C99" i="1"/>
  <c r="A101" i="1" l="1"/>
  <c r="B100" i="1"/>
  <c r="C100" i="1"/>
  <c r="A102" i="1" l="1"/>
  <c r="B101" i="1"/>
  <c r="C101" i="1"/>
  <c r="A103" i="1" l="1"/>
  <c r="B102" i="1"/>
  <c r="C102" i="1"/>
  <c r="A104" i="1" l="1"/>
  <c r="B103" i="1"/>
  <c r="C103" i="1"/>
  <c r="A105" i="1" l="1"/>
  <c r="B104" i="1"/>
  <c r="C104" i="1"/>
  <c r="A106" i="1" l="1"/>
  <c r="B105" i="1"/>
  <c r="C105" i="1"/>
  <c r="A107" i="1" l="1"/>
  <c r="B106" i="1"/>
  <c r="C106" i="1"/>
  <c r="A108" i="1" l="1"/>
  <c r="B107" i="1"/>
  <c r="C107" i="1"/>
  <c r="A109" i="1" l="1"/>
  <c r="B108" i="1"/>
  <c r="C108" i="1"/>
  <c r="A110" i="1" l="1"/>
  <c r="B109" i="1"/>
  <c r="C109" i="1"/>
  <c r="A111" i="1" l="1"/>
  <c r="B110" i="1"/>
  <c r="C110" i="1"/>
  <c r="A112" i="1" l="1"/>
  <c r="B111" i="1"/>
  <c r="C111" i="1"/>
  <c r="A113" i="1" l="1"/>
  <c r="B112" i="1"/>
  <c r="C112" i="1"/>
  <c r="A114" i="1" l="1"/>
  <c r="B113" i="1"/>
  <c r="C113" i="1"/>
  <c r="A115" i="1" l="1"/>
  <c r="B114" i="1"/>
  <c r="C114" i="1"/>
  <c r="A116" i="1" l="1"/>
  <c r="B115" i="1"/>
  <c r="C115" i="1"/>
  <c r="A117" i="1" l="1"/>
  <c r="B116" i="1"/>
  <c r="C116" i="1"/>
  <c r="A118" i="1" l="1"/>
  <c r="B117" i="1"/>
  <c r="C117" i="1"/>
  <c r="A119" i="1" l="1"/>
  <c r="B118" i="1"/>
  <c r="C118" i="1"/>
  <c r="A120" i="1" l="1"/>
  <c r="B119" i="1"/>
  <c r="C119" i="1"/>
  <c r="A121" i="1" l="1"/>
  <c r="B120" i="1"/>
  <c r="C120" i="1"/>
  <c r="A122" i="1" l="1"/>
  <c r="B121" i="1"/>
  <c r="C121" i="1"/>
  <c r="A123" i="1" l="1"/>
  <c r="B122" i="1"/>
  <c r="C122" i="1"/>
  <c r="A124" i="1" l="1"/>
  <c r="B123" i="1"/>
  <c r="C123" i="1"/>
  <c r="A125" i="1" l="1"/>
  <c r="B124" i="1"/>
  <c r="C124" i="1"/>
  <c r="A126" i="1" l="1"/>
  <c r="B125" i="1"/>
  <c r="C125" i="1"/>
  <c r="A127" i="1" l="1"/>
  <c r="B126" i="1"/>
  <c r="C126" i="1"/>
  <c r="A128" i="1" l="1"/>
  <c r="B127" i="1"/>
  <c r="C127" i="1"/>
  <c r="A129" i="1" l="1"/>
  <c r="B128" i="1"/>
  <c r="C128" i="1"/>
  <c r="A130" i="1" l="1"/>
  <c r="B129" i="1"/>
  <c r="C129" i="1"/>
  <c r="A131" i="1" l="1"/>
  <c r="B130" i="1"/>
  <c r="C130" i="1"/>
  <c r="A132" i="1" l="1"/>
  <c r="B131" i="1"/>
  <c r="C131" i="1"/>
  <c r="A133" i="1" l="1"/>
  <c r="B132" i="1"/>
  <c r="C132" i="1"/>
  <c r="A134" i="1" l="1"/>
  <c r="B133" i="1"/>
  <c r="C133" i="1"/>
  <c r="A135" i="1" l="1"/>
  <c r="B134" i="1"/>
  <c r="C134" i="1"/>
  <c r="A136" i="1" l="1"/>
  <c r="B135" i="1"/>
  <c r="C135" i="1"/>
  <c r="A137" i="1" l="1"/>
  <c r="B136" i="1"/>
  <c r="C136" i="1"/>
  <c r="A138" i="1" l="1"/>
  <c r="B137" i="1"/>
  <c r="C137" i="1"/>
  <c r="A139" i="1" l="1"/>
  <c r="B138" i="1"/>
  <c r="C138" i="1"/>
  <c r="A140" i="1" l="1"/>
  <c r="B139" i="1"/>
  <c r="C139" i="1"/>
  <c r="A141" i="1" l="1"/>
  <c r="B140" i="1"/>
  <c r="C140" i="1"/>
  <c r="A142" i="1" l="1"/>
  <c r="B141" i="1"/>
  <c r="C141" i="1"/>
  <c r="A143" i="1" l="1"/>
  <c r="B142" i="1"/>
  <c r="C142" i="1"/>
  <c r="A144" i="1" l="1"/>
  <c r="B143" i="1"/>
  <c r="C143" i="1"/>
  <c r="A145" i="1" l="1"/>
  <c r="B144" i="1"/>
  <c r="C144" i="1"/>
  <c r="A146" i="1" l="1"/>
  <c r="B145" i="1"/>
  <c r="C145" i="1"/>
  <c r="A147" i="1" l="1"/>
  <c r="B146" i="1"/>
  <c r="C146" i="1"/>
  <c r="A148" i="1" l="1"/>
  <c r="B147" i="1"/>
  <c r="C147" i="1"/>
  <c r="A149" i="1" l="1"/>
  <c r="B148" i="1"/>
  <c r="C148" i="1"/>
  <c r="A150" i="1" l="1"/>
  <c r="B149" i="1"/>
  <c r="C149" i="1"/>
  <c r="A151" i="1" l="1"/>
  <c r="B150" i="1"/>
  <c r="C150" i="1"/>
  <c r="A152" i="1" l="1"/>
  <c r="B151" i="1"/>
  <c r="C151" i="1"/>
  <c r="A153" i="1" l="1"/>
  <c r="B152" i="1"/>
  <c r="C152" i="1"/>
  <c r="A154" i="1" l="1"/>
  <c r="B153" i="1"/>
  <c r="C153" i="1"/>
  <c r="A155" i="1" l="1"/>
  <c r="B154" i="1"/>
  <c r="C154" i="1"/>
  <c r="A156" i="1" l="1"/>
  <c r="B155" i="1"/>
  <c r="C155" i="1"/>
  <c r="A157" i="1" l="1"/>
  <c r="B156" i="1"/>
  <c r="C156" i="1"/>
  <c r="A158" i="1" l="1"/>
  <c r="B157" i="1"/>
  <c r="C157" i="1"/>
  <c r="A159" i="1" l="1"/>
  <c r="B158" i="1"/>
  <c r="C158" i="1"/>
  <c r="A160" i="1" l="1"/>
  <c r="B159" i="1"/>
  <c r="C159" i="1"/>
  <c r="A161" i="1" l="1"/>
  <c r="B160" i="1"/>
  <c r="C160" i="1"/>
  <c r="A162" i="1" l="1"/>
  <c r="B161" i="1"/>
  <c r="C161" i="1"/>
  <c r="A163" i="1" l="1"/>
  <c r="B162" i="1"/>
  <c r="C162" i="1"/>
  <c r="A164" i="1" l="1"/>
  <c r="B163" i="1"/>
  <c r="C163" i="1"/>
  <c r="A165" i="1" l="1"/>
  <c r="B164" i="1"/>
  <c r="C164" i="1"/>
  <c r="A166" i="1" l="1"/>
  <c r="B165" i="1"/>
  <c r="C165" i="1"/>
  <c r="A167" i="1" l="1"/>
  <c r="B166" i="1"/>
  <c r="C166" i="1"/>
  <c r="A168" i="1" l="1"/>
  <c r="B167" i="1"/>
  <c r="C167" i="1"/>
  <c r="A169" i="1" l="1"/>
  <c r="B168" i="1"/>
  <c r="C168" i="1"/>
  <c r="A170" i="1" l="1"/>
  <c r="B169" i="1"/>
  <c r="C169" i="1"/>
  <c r="A171" i="1" l="1"/>
  <c r="B170" i="1"/>
  <c r="C170" i="1"/>
  <c r="A172" i="1" l="1"/>
  <c r="B171" i="1"/>
  <c r="C171" i="1"/>
  <c r="A173" i="1" l="1"/>
  <c r="B172" i="1"/>
  <c r="C172" i="1"/>
  <c r="A174" i="1" l="1"/>
  <c r="B173" i="1"/>
  <c r="C173" i="1"/>
  <c r="A175" i="1" l="1"/>
  <c r="B174" i="1"/>
  <c r="C174" i="1"/>
  <c r="A176" i="1" l="1"/>
  <c r="B175" i="1"/>
  <c r="C175" i="1"/>
  <c r="A177" i="1" l="1"/>
  <c r="B176" i="1"/>
  <c r="C176" i="1"/>
  <c r="A178" i="1" l="1"/>
  <c r="B177" i="1"/>
  <c r="C177" i="1"/>
  <c r="A179" i="1" l="1"/>
  <c r="B178" i="1"/>
  <c r="C178" i="1"/>
  <c r="A180" i="1" l="1"/>
  <c r="B179" i="1"/>
  <c r="C179" i="1"/>
  <c r="A181" i="1" l="1"/>
  <c r="B180" i="1"/>
  <c r="C180" i="1"/>
  <c r="A182" i="1" l="1"/>
  <c r="B181" i="1"/>
  <c r="C181" i="1"/>
  <c r="A183" i="1" l="1"/>
  <c r="B182" i="1"/>
  <c r="C182" i="1"/>
  <c r="A184" i="1" l="1"/>
  <c r="B183" i="1"/>
  <c r="C183" i="1"/>
  <c r="A185" i="1" l="1"/>
  <c r="B184" i="1"/>
  <c r="C184" i="1"/>
  <c r="A186" i="1" l="1"/>
  <c r="B185" i="1"/>
  <c r="C185" i="1"/>
  <c r="A187" i="1" l="1"/>
  <c r="B186" i="1"/>
  <c r="C186" i="1"/>
  <c r="A188" i="1" l="1"/>
  <c r="B187" i="1"/>
  <c r="C187" i="1"/>
  <c r="A189" i="1" l="1"/>
  <c r="B188" i="1"/>
  <c r="C188" i="1"/>
  <c r="A190" i="1" l="1"/>
  <c r="B189" i="1"/>
  <c r="C189" i="1"/>
  <c r="A191" i="1" l="1"/>
  <c r="B190" i="1"/>
  <c r="C190" i="1"/>
  <c r="A192" i="1" l="1"/>
  <c r="B191" i="1"/>
  <c r="C191" i="1"/>
  <c r="A193" i="1" l="1"/>
  <c r="B192" i="1"/>
  <c r="C192" i="1"/>
  <c r="A194" i="1" l="1"/>
  <c r="B193" i="1"/>
  <c r="C193" i="1"/>
  <c r="A195" i="1" l="1"/>
  <c r="B194" i="1"/>
  <c r="C194" i="1"/>
  <c r="A196" i="1" l="1"/>
  <c r="B195" i="1"/>
  <c r="C195" i="1"/>
  <c r="A197" i="1" l="1"/>
  <c r="B196" i="1"/>
  <c r="C196" i="1"/>
  <c r="A198" i="1" l="1"/>
  <c r="B197" i="1"/>
  <c r="C197" i="1"/>
  <c r="A199" i="1" l="1"/>
  <c r="B198" i="1"/>
  <c r="C198" i="1"/>
  <c r="A200" i="1" l="1"/>
  <c r="B199" i="1"/>
  <c r="C199" i="1"/>
  <c r="A201" i="1" l="1"/>
  <c r="B200" i="1"/>
  <c r="C200" i="1"/>
  <c r="A202" i="1" l="1"/>
  <c r="B201" i="1"/>
  <c r="C201" i="1"/>
  <c r="A203" i="1" l="1"/>
  <c r="B202" i="1"/>
  <c r="C202" i="1"/>
  <c r="A204" i="1" l="1"/>
  <c r="B203" i="1"/>
  <c r="C203" i="1"/>
  <c r="A205" i="1" l="1"/>
  <c r="B204" i="1"/>
  <c r="C204" i="1"/>
  <c r="A206" i="1" l="1"/>
  <c r="B205" i="1"/>
  <c r="C205" i="1"/>
  <c r="A207" i="1" l="1"/>
  <c r="B206" i="1"/>
  <c r="C206" i="1"/>
  <c r="A208" i="1" l="1"/>
  <c r="B207" i="1"/>
  <c r="C207" i="1"/>
  <c r="A209" i="1" l="1"/>
  <c r="B208" i="1"/>
  <c r="C208" i="1"/>
  <c r="A210" i="1" l="1"/>
  <c r="B209" i="1"/>
  <c r="C209" i="1"/>
  <c r="A211" i="1" l="1"/>
  <c r="B210" i="1"/>
  <c r="C210" i="1"/>
  <c r="A212" i="1" l="1"/>
  <c r="B211" i="1"/>
  <c r="C211" i="1"/>
  <c r="A213" i="1" l="1"/>
  <c r="B212" i="1"/>
  <c r="C212" i="1"/>
  <c r="A214" i="1" l="1"/>
  <c r="B213" i="1"/>
  <c r="C213" i="1"/>
  <c r="A215" i="1" l="1"/>
  <c r="B214" i="1"/>
  <c r="C214" i="1"/>
  <c r="A216" i="1" l="1"/>
  <c r="B215" i="1"/>
  <c r="C215" i="1"/>
  <c r="A217" i="1" l="1"/>
  <c r="B216" i="1"/>
  <c r="C216" i="1"/>
  <c r="A218" i="1" l="1"/>
  <c r="B217" i="1"/>
  <c r="C217" i="1"/>
  <c r="A219" i="1" l="1"/>
  <c r="B218" i="1"/>
  <c r="C218" i="1"/>
  <c r="A220" i="1" l="1"/>
  <c r="B219" i="1"/>
  <c r="C219" i="1"/>
  <c r="A221" i="1" l="1"/>
  <c r="B220" i="1"/>
  <c r="C220" i="1"/>
  <c r="A222" i="1" l="1"/>
  <c r="B221" i="1"/>
  <c r="C221" i="1"/>
  <c r="A223" i="1" l="1"/>
  <c r="B222" i="1"/>
  <c r="C222" i="1"/>
  <c r="A224" i="1" l="1"/>
  <c r="B223" i="1"/>
  <c r="C223" i="1"/>
  <c r="A225" i="1" l="1"/>
  <c r="B224" i="1"/>
  <c r="C224" i="1"/>
  <c r="A226" i="1" l="1"/>
  <c r="B225" i="1"/>
  <c r="C225" i="1"/>
  <c r="A227" i="1" l="1"/>
  <c r="B226" i="1"/>
  <c r="C226" i="1"/>
  <c r="A228" i="1" l="1"/>
  <c r="B227" i="1"/>
  <c r="C227" i="1"/>
  <c r="A229" i="1" l="1"/>
  <c r="B228" i="1"/>
  <c r="C228" i="1"/>
  <c r="A230" i="1" l="1"/>
  <c r="B229" i="1"/>
  <c r="C229" i="1"/>
  <c r="A231" i="1" l="1"/>
  <c r="B230" i="1"/>
  <c r="C230" i="1"/>
  <c r="A232" i="1" l="1"/>
  <c r="B231" i="1"/>
  <c r="C231" i="1"/>
  <c r="A233" i="1" l="1"/>
  <c r="B232" i="1"/>
  <c r="C232" i="1"/>
  <c r="A234" i="1" l="1"/>
  <c r="B233" i="1"/>
  <c r="C233" i="1"/>
  <c r="A235" i="1" l="1"/>
  <c r="B234" i="1"/>
  <c r="C234" i="1"/>
  <c r="A236" i="1" l="1"/>
  <c r="B235" i="1"/>
  <c r="C235" i="1"/>
  <c r="A237" i="1" l="1"/>
  <c r="B236" i="1"/>
  <c r="C236" i="1"/>
  <c r="A238" i="1" l="1"/>
  <c r="B237" i="1"/>
  <c r="C237" i="1"/>
  <c r="A239" i="1" l="1"/>
  <c r="B238" i="1"/>
  <c r="C238" i="1"/>
  <c r="A240" i="1" l="1"/>
  <c r="B239" i="1"/>
  <c r="C239" i="1"/>
  <c r="A241" i="1" l="1"/>
  <c r="B240" i="1"/>
  <c r="C240" i="1"/>
  <c r="A242" i="1" l="1"/>
  <c r="B241" i="1"/>
  <c r="C241" i="1"/>
  <c r="A243" i="1" l="1"/>
  <c r="B242" i="1"/>
  <c r="C242" i="1"/>
  <c r="A244" i="1" l="1"/>
  <c r="B243" i="1"/>
  <c r="C243" i="1"/>
  <c r="A245" i="1" l="1"/>
  <c r="B244" i="1"/>
  <c r="C244" i="1"/>
  <c r="A246" i="1" l="1"/>
  <c r="B245" i="1"/>
  <c r="C245" i="1"/>
  <c r="A247" i="1" l="1"/>
  <c r="B246" i="1"/>
  <c r="C246" i="1"/>
  <c r="A248" i="1" l="1"/>
  <c r="B247" i="1"/>
  <c r="C247" i="1"/>
  <c r="A249" i="1" l="1"/>
  <c r="B248" i="1"/>
  <c r="C248" i="1"/>
  <c r="A250" i="1" l="1"/>
  <c r="B249" i="1"/>
  <c r="C249" i="1"/>
  <c r="A251" i="1" l="1"/>
  <c r="B250" i="1"/>
  <c r="C250" i="1"/>
  <c r="A252" i="1" l="1"/>
  <c r="B251" i="1"/>
  <c r="C251" i="1"/>
  <c r="A253" i="1" l="1"/>
  <c r="B252" i="1"/>
  <c r="C252" i="1"/>
  <c r="A254" i="1" l="1"/>
  <c r="B253" i="1"/>
  <c r="C253" i="1"/>
  <c r="A255" i="1" l="1"/>
  <c r="B254" i="1"/>
  <c r="C254" i="1"/>
  <c r="A256" i="1" l="1"/>
  <c r="B255" i="1"/>
  <c r="C255" i="1"/>
  <c r="A257" i="1" l="1"/>
  <c r="B256" i="1"/>
  <c r="C256" i="1"/>
  <c r="A258" i="1" l="1"/>
  <c r="B257" i="1"/>
  <c r="C257" i="1"/>
  <c r="A259" i="1" l="1"/>
  <c r="B258" i="1"/>
  <c r="C258" i="1"/>
  <c r="A260" i="1" l="1"/>
  <c r="B259" i="1"/>
  <c r="C259" i="1"/>
  <c r="A261" i="1" l="1"/>
  <c r="B260" i="1"/>
  <c r="C260" i="1"/>
  <c r="A262" i="1" l="1"/>
  <c r="B261" i="1"/>
  <c r="C261" i="1"/>
  <c r="A263" i="1" l="1"/>
  <c r="B262" i="1"/>
  <c r="C262" i="1"/>
  <c r="A264" i="1" l="1"/>
  <c r="B263" i="1"/>
  <c r="C263" i="1"/>
  <c r="A265" i="1" l="1"/>
  <c r="B264" i="1"/>
  <c r="C264" i="1"/>
  <c r="A266" i="1" l="1"/>
  <c r="B265" i="1"/>
  <c r="C265" i="1"/>
  <c r="A267" i="1" l="1"/>
  <c r="B266" i="1"/>
  <c r="C266" i="1"/>
  <c r="A268" i="1" l="1"/>
  <c r="B267" i="1"/>
  <c r="C267" i="1"/>
  <c r="A269" i="1" l="1"/>
  <c r="B268" i="1"/>
  <c r="C268" i="1"/>
  <c r="A270" i="1" l="1"/>
  <c r="B269" i="1"/>
  <c r="C269" i="1"/>
  <c r="A271" i="1" l="1"/>
  <c r="B270" i="1"/>
  <c r="C270" i="1"/>
  <c r="A272" i="1" l="1"/>
  <c r="B271" i="1"/>
  <c r="C271" i="1"/>
  <c r="A273" i="1" l="1"/>
  <c r="B272" i="1"/>
  <c r="C272" i="1"/>
  <c r="A274" i="1" l="1"/>
  <c r="B273" i="1"/>
  <c r="C273" i="1"/>
  <c r="A275" i="1" l="1"/>
  <c r="B274" i="1"/>
  <c r="C274" i="1"/>
  <c r="A276" i="1" l="1"/>
  <c r="B275" i="1"/>
  <c r="C275" i="1"/>
  <c r="A277" i="1" l="1"/>
  <c r="B276" i="1"/>
  <c r="C276" i="1"/>
  <c r="A278" i="1" l="1"/>
  <c r="B277" i="1"/>
  <c r="C277" i="1"/>
  <c r="A279" i="1" l="1"/>
  <c r="B278" i="1"/>
  <c r="C278" i="1"/>
  <c r="A280" i="1" l="1"/>
  <c r="B279" i="1"/>
  <c r="C279" i="1"/>
  <c r="A281" i="1" l="1"/>
  <c r="B280" i="1"/>
  <c r="C280" i="1"/>
  <c r="A282" i="1" l="1"/>
  <c r="B281" i="1"/>
  <c r="C281" i="1"/>
  <c r="A283" i="1" l="1"/>
  <c r="B282" i="1"/>
  <c r="C282" i="1"/>
  <c r="A284" i="1" l="1"/>
  <c r="B283" i="1"/>
  <c r="C283" i="1"/>
  <c r="A285" i="1" l="1"/>
  <c r="B284" i="1"/>
  <c r="C284" i="1"/>
  <c r="A286" i="1" l="1"/>
  <c r="B285" i="1"/>
  <c r="C285" i="1"/>
  <c r="A287" i="1" l="1"/>
  <c r="B286" i="1"/>
  <c r="C286" i="1"/>
  <c r="A288" i="1" l="1"/>
  <c r="B287" i="1"/>
  <c r="C287" i="1"/>
  <c r="A289" i="1" l="1"/>
  <c r="B288" i="1"/>
  <c r="C288" i="1"/>
  <c r="A290" i="1" l="1"/>
  <c r="B289" i="1"/>
  <c r="C289" i="1"/>
  <c r="A291" i="1" l="1"/>
  <c r="B290" i="1"/>
  <c r="C290" i="1"/>
  <c r="A292" i="1" l="1"/>
  <c r="B291" i="1"/>
  <c r="C291" i="1"/>
  <c r="A293" i="1" l="1"/>
  <c r="B292" i="1"/>
  <c r="C292" i="1"/>
  <c r="A294" i="1" l="1"/>
  <c r="B293" i="1"/>
  <c r="C293" i="1"/>
  <c r="A295" i="1" l="1"/>
  <c r="B294" i="1"/>
  <c r="C294" i="1"/>
  <c r="A296" i="1" l="1"/>
  <c r="B295" i="1"/>
  <c r="C295" i="1"/>
  <c r="A297" i="1" l="1"/>
  <c r="B296" i="1"/>
  <c r="C296" i="1"/>
  <c r="A298" i="1" l="1"/>
  <c r="B297" i="1"/>
  <c r="C297" i="1"/>
  <c r="A299" i="1" l="1"/>
  <c r="B298" i="1"/>
  <c r="C298" i="1"/>
  <c r="A300" i="1" l="1"/>
  <c r="B299" i="1"/>
  <c r="C299" i="1"/>
  <c r="A301" i="1" l="1"/>
  <c r="B300" i="1"/>
  <c r="C300" i="1"/>
  <c r="A302" i="1" l="1"/>
  <c r="B301" i="1"/>
  <c r="C301" i="1"/>
  <c r="A303" i="1" l="1"/>
  <c r="B302" i="1"/>
  <c r="C302" i="1"/>
  <c r="A304" i="1" l="1"/>
  <c r="B303" i="1"/>
  <c r="C303" i="1"/>
  <c r="A305" i="1" l="1"/>
  <c r="B304" i="1"/>
  <c r="C304" i="1"/>
  <c r="A306" i="1" l="1"/>
  <c r="B305" i="1"/>
  <c r="C305" i="1"/>
  <c r="A307" i="1" l="1"/>
  <c r="B306" i="1"/>
  <c r="C306" i="1"/>
  <c r="A308" i="1" l="1"/>
  <c r="B307" i="1"/>
  <c r="C307" i="1"/>
  <c r="A309" i="1" l="1"/>
  <c r="B308" i="1"/>
  <c r="C308" i="1"/>
  <c r="A310" i="1" l="1"/>
  <c r="B309" i="1"/>
  <c r="C309" i="1"/>
  <c r="A311" i="1" l="1"/>
  <c r="B310" i="1"/>
  <c r="C310" i="1"/>
  <c r="A312" i="1" l="1"/>
  <c r="B311" i="1"/>
  <c r="C311" i="1"/>
  <c r="A313" i="1" l="1"/>
  <c r="B312" i="1"/>
  <c r="C312" i="1"/>
  <c r="A314" i="1" l="1"/>
  <c r="B313" i="1"/>
  <c r="C313" i="1"/>
  <c r="A315" i="1" l="1"/>
  <c r="B314" i="1"/>
  <c r="C314" i="1"/>
  <c r="A316" i="1" l="1"/>
  <c r="B315" i="1"/>
  <c r="C315" i="1"/>
  <c r="A317" i="1" l="1"/>
  <c r="B316" i="1"/>
  <c r="C316" i="1"/>
  <c r="A318" i="1" l="1"/>
  <c r="B317" i="1"/>
  <c r="C317" i="1"/>
  <c r="A319" i="1" l="1"/>
  <c r="B318" i="1"/>
  <c r="C318" i="1"/>
  <c r="A320" i="1" l="1"/>
  <c r="B319" i="1"/>
  <c r="C319" i="1"/>
  <c r="A321" i="1" l="1"/>
  <c r="B320" i="1"/>
  <c r="C320" i="1"/>
  <c r="A322" i="1" l="1"/>
  <c r="B321" i="1"/>
  <c r="C321" i="1"/>
  <c r="A323" i="1" l="1"/>
  <c r="B322" i="1"/>
  <c r="C322" i="1"/>
  <c r="A324" i="1" l="1"/>
  <c r="B323" i="1"/>
  <c r="C323" i="1"/>
  <c r="A325" i="1" l="1"/>
  <c r="B324" i="1"/>
  <c r="C324" i="1"/>
  <c r="A326" i="1" l="1"/>
  <c r="B325" i="1"/>
  <c r="C325" i="1"/>
  <c r="A327" i="1" l="1"/>
  <c r="B326" i="1"/>
  <c r="C326" i="1"/>
  <c r="A328" i="1" l="1"/>
  <c r="B327" i="1"/>
  <c r="C327" i="1"/>
  <c r="A329" i="1" l="1"/>
  <c r="B328" i="1"/>
  <c r="C328" i="1"/>
  <c r="A330" i="1" l="1"/>
  <c r="B329" i="1"/>
  <c r="C329" i="1"/>
  <c r="A331" i="1" l="1"/>
  <c r="B330" i="1"/>
  <c r="C330" i="1"/>
  <c r="A332" i="1" l="1"/>
  <c r="B331" i="1"/>
  <c r="C331" i="1"/>
  <c r="A333" i="1" l="1"/>
  <c r="B332" i="1"/>
  <c r="C332" i="1"/>
  <c r="A334" i="1" l="1"/>
  <c r="B333" i="1"/>
  <c r="C333" i="1"/>
  <c r="A335" i="1" l="1"/>
  <c r="B334" i="1"/>
  <c r="C334" i="1"/>
  <c r="A336" i="1" l="1"/>
  <c r="B335" i="1"/>
  <c r="C335" i="1"/>
  <c r="A337" i="1" l="1"/>
  <c r="B336" i="1"/>
  <c r="C336" i="1"/>
  <c r="A338" i="1" l="1"/>
  <c r="B337" i="1"/>
  <c r="C337" i="1"/>
  <c r="A339" i="1" l="1"/>
  <c r="B338" i="1"/>
  <c r="C338" i="1"/>
  <c r="A340" i="1" l="1"/>
  <c r="B339" i="1"/>
  <c r="C339" i="1"/>
  <c r="A341" i="1" l="1"/>
  <c r="B340" i="1"/>
  <c r="C340" i="1"/>
  <c r="A342" i="1" l="1"/>
  <c r="B341" i="1"/>
  <c r="C341" i="1"/>
  <c r="A343" i="1" l="1"/>
  <c r="B342" i="1"/>
  <c r="C342" i="1"/>
  <c r="A344" i="1" l="1"/>
  <c r="B343" i="1"/>
  <c r="C343" i="1"/>
  <c r="A345" i="1" l="1"/>
  <c r="B344" i="1"/>
  <c r="C344" i="1"/>
  <c r="A346" i="1" l="1"/>
  <c r="B345" i="1"/>
  <c r="C345" i="1"/>
  <c r="A347" i="1" l="1"/>
  <c r="B346" i="1"/>
  <c r="C346" i="1"/>
  <c r="A348" i="1" l="1"/>
  <c r="B347" i="1"/>
  <c r="C347" i="1"/>
  <c r="A349" i="1" l="1"/>
  <c r="B348" i="1"/>
  <c r="C348" i="1"/>
  <c r="A350" i="1" l="1"/>
  <c r="B349" i="1"/>
  <c r="C349" i="1"/>
  <c r="A351" i="1" l="1"/>
  <c r="B350" i="1"/>
  <c r="C350" i="1"/>
  <c r="A352" i="1" l="1"/>
  <c r="B351" i="1"/>
  <c r="C351" i="1"/>
  <c r="A353" i="1" l="1"/>
  <c r="B352" i="1"/>
  <c r="C352" i="1"/>
  <c r="A354" i="1" l="1"/>
  <c r="B353" i="1"/>
  <c r="C353" i="1"/>
  <c r="A355" i="1" l="1"/>
  <c r="B354" i="1"/>
  <c r="C354" i="1"/>
  <c r="A356" i="1" l="1"/>
  <c r="B355" i="1"/>
  <c r="C355" i="1"/>
  <c r="A357" i="1" l="1"/>
  <c r="B356" i="1"/>
  <c r="C356" i="1"/>
  <c r="A358" i="1" l="1"/>
  <c r="B357" i="1"/>
  <c r="C357" i="1"/>
  <c r="A359" i="1" l="1"/>
  <c r="B358" i="1"/>
  <c r="C358" i="1"/>
  <c r="A360" i="1" l="1"/>
  <c r="B359" i="1"/>
  <c r="C359" i="1"/>
  <c r="A361" i="1" l="1"/>
  <c r="B360" i="1"/>
  <c r="C360" i="1"/>
  <c r="A362" i="1" l="1"/>
  <c r="B361" i="1"/>
  <c r="C361" i="1"/>
  <c r="A363" i="1" l="1"/>
  <c r="B362" i="1"/>
  <c r="C362" i="1"/>
  <c r="A364" i="1" l="1"/>
  <c r="B363" i="1"/>
  <c r="C363" i="1"/>
  <c r="A365" i="1" l="1"/>
  <c r="B364" i="1"/>
  <c r="C364" i="1"/>
  <c r="A366" i="1" l="1"/>
  <c r="B365" i="1"/>
  <c r="C365" i="1"/>
  <c r="A367" i="1" l="1"/>
  <c r="B366" i="1"/>
  <c r="C366" i="1"/>
  <c r="A368" i="1" l="1"/>
  <c r="B367" i="1"/>
  <c r="C367" i="1"/>
  <c r="A369" i="1" l="1"/>
  <c r="B368" i="1"/>
  <c r="C368" i="1"/>
  <c r="A370" i="1" l="1"/>
  <c r="B369" i="1"/>
  <c r="C369" i="1"/>
  <c r="A371" i="1" l="1"/>
  <c r="B370" i="1"/>
  <c r="C370" i="1"/>
  <c r="A372" i="1" l="1"/>
  <c r="B371" i="1"/>
  <c r="C371" i="1"/>
  <c r="A373" i="1" l="1"/>
  <c r="B372" i="1"/>
  <c r="C372" i="1"/>
  <c r="A374" i="1" l="1"/>
  <c r="B373" i="1"/>
  <c r="C373" i="1"/>
  <c r="A375" i="1" l="1"/>
  <c r="B374" i="1"/>
  <c r="C374" i="1"/>
  <c r="A376" i="1" l="1"/>
  <c r="B375" i="1"/>
  <c r="C375" i="1"/>
  <c r="A377" i="1" l="1"/>
  <c r="B376" i="1"/>
  <c r="C376" i="1"/>
  <c r="A378" i="1" l="1"/>
  <c r="B377" i="1"/>
  <c r="C377" i="1"/>
  <c r="B378" i="1" l="1"/>
  <c r="C378" i="1"/>
  <c r="A379" i="1"/>
  <c r="A380" i="1" l="1"/>
  <c r="B379" i="1"/>
  <c r="C379" i="1"/>
  <c r="A381" i="1" l="1"/>
  <c r="B380" i="1"/>
  <c r="C380" i="1"/>
  <c r="A382" i="1" l="1"/>
  <c r="B381" i="1"/>
  <c r="C381" i="1"/>
  <c r="A383" i="1" l="1"/>
  <c r="B382" i="1"/>
  <c r="C382" i="1"/>
  <c r="A384" i="1" l="1"/>
  <c r="B383" i="1"/>
  <c r="C383" i="1"/>
  <c r="A385" i="1" l="1"/>
  <c r="B384" i="1"/>
  <c r="C384" i="1"/>
  <c r="A386" i="1" l="1"/>
  <c r="B385" i="1"/>
  <c r="C385" i="1"/>
  <c r="A387" i="1" l="1"/>
  <c r="B386" i="1"/>
  <c r="C386" i="1"/>
  <c r="A388" i="1" l="1"/>
  <c r="B387" i="1"/>
  <c r="C387" i="1"/>
  <c r="A389" i="1" l="1"/>
  <c r="B388" i="1"/>
  <c r="C388" i="1"/>
  <c r="A390" i="1" l="1"/>
  <c r="B389" i="1"/>
  <c r="C389" i="1"/>
  <c r="A391" i="1" l="1"/>
  <c r="B390" i="1"/>
  <c r="C390" i="1"/>
  <c r="A392" i="1" l="1"/>
  <c r="B391" i="1"/>
  <c r="C391" i="1"/>
  <c r="A393" i="1" l="1"/>
  <c r="B392" i="1"/>
  <c r="C392" i="1"/>
  <c r="A394" i="1" l="1"/>
  <c r="B393" i="1"/>
  <c r="C393" i="1"/>
  <c r="A395" i="1" l="1"/>
  <c r="B394" i="1"/>
  <c r="C394" i="1"/>
  <c r="A396" i="1" l="1"/>
  <c r="B395" i="1"/>
  <c r="C395" i="1"/>
  <c r="A397" i="1" l="1"/>
  <c r="B396" i="1"/>
  <c r="C396" i="1"/>
  <c r="A398" i="1" l="1"/>
  <c r="B397" i="1"/>
  <c r="C397" i="1"/>
  <c r="A399" i="1" l="1"/>
  <c r="B398" i="1"/>
  <c r="C398" i="1"/>
  <c r="A400" i="1" l="1"/>
  <c r="B399" i="1"/>
  <c r="C399" i="1"/>
  <c r="A401" i="1" l="1"/>
  <c r="B400" i="1"/>
  <c r="C400" i="1"/>
  <c r="A402" i="1" l="1"/>
  <c r="B401" i="1"/>
  <c r="C401" i="1"/>
  <c r="A403" i="1" l="1"/>
  <c r="B402" i="1"/>
  <c r="C402" i="1"/>
  <c r="A404" i="1" l="1"/>
  <c r="B403" i="1"/>
  <c r="C403" i="1"/>
  <c r="A405" i="1" l="1"/>
  <c r="B404" i="1"/>
  <c r="C404" i="1"/>
  <c r="A406" i="1" l="1"/>
  <c r="B405" i="1"/>
  <c r="C405" i="1"/>
  <c r="A407" i="1" l="1"/>
  <c r="B406" i="1"/>
  <c r="C406" i="1"/>
  <c r="A408" i="1" l="1"/>
  <c r="B407" i="1"/>
  <c r="C407" i="1"/>
  <c r="A409" i="1" l="1"/>
  <c r="B408" i="1"/>
  <c r="C408" i="1"/>
  <c r="A410" i="1" l="1"/>
  <c r="B409" i="1"/>
  <c r="C409" i="1"/>
  <c r="A411" i="1" l="1"/>
  <c r="B410" i="1"/>
  <c r="C410" i="1"/>
  <c r="A412" i="1" l="1"/>
  <c r="B411" i="1"/>
  <c r="C411" i="1"/>
  <c r="A413" i="1" l="1"/>
  <c r="B412" i="1"/>
  <c r="C412" i="1"/>
  <c r="A414" i="1" l="1"/>
  <c r="B413" i="1"/>
  <c r="C413" i="1"/>
  <c r="A415" i="1" l="1"/>
  <c r="B414" i="1"/>
  <c r="C414" i="1"/>
  <c r="A416" i="1" l="1"/>
  <c r="B415" i="1"/>
  <c r="C415" i="1"/>
  <c r="A417" i="1" l="1"/>
  <c r="B416" i="1"/>
  <c r="C416" i="1"/>
  <c r="A418" i="1" l="1"/>
  <c r="B417" i="1"/>
  <c r="C417" i="1"/>
  <c r="A419" i="1" l="1"/>
  <c r="B418" i="1"/>
  <c r="C418" i="1"/>
  <c r="A420" i="1" l="1"/>
  <c r="B419" i="1"/>
  <c r="C419" i="1"/>
  <c r="A421" i="1" l="1"/>
  <c r="B420" i="1"/>
  <c r="C420" i="1"/>
  <c r="A422" i="1" l="1"/>
  <c r="B421" i="1"/>
  <c r="C421" i="1"/>
  <c r="A423" i="1" l="1"/>
  <c r="B422" i="1"/>
  <c r="C422" i="1"/>
  <c r="A424" i="1" l="1"/>
  <c r="B423" i="1"/>
  <c r="C423" i="1"/>
  <c r="A425" i="1" l="1"/>
  <c r="B424" i="1"/>
  <c r="C424" i="1"/>
  <c r="A426" i="1" l="1"/>
  <c r="B425" i="1"/>
  <c r="C425" i="1"/>
  <c r="A427" i="1" l="1"/>
  <c r="B426" i="1"/>
  <c r="C426" i="1"/>
  <c r="A428" i="1" l="1"/>
  <c r="B427" i="1"/>
  <c r="C427" i="1"/>
  <c r="A429" i="1" l="1"/>
  <c r="B428" i="1"/>
  <c r="C428" i="1"/>
  <c r="A430" i="1" l="1"/>
  <c r="B429" i="1"/>
  <c r="C429" i="1"/>
  <c r="A431" i="1" l="1"/>
  <c r="B430" i="1"/>
  <c r="C430" i="1"/>
  <c r="A432" i="1" l="1"/>
  <c r="B431" i="1"/>
  <c r="C431" i="1"/>
  <c r="A433" i="1" l="1"/>
  <c r="B432" i="1"/>
  <c r="C432" i="1"/>
  <c r="A434" i="1" l="1"/>
  <c r="B433" i="1"/>
  <c r="C433" i="1"/>
  <c r="A435" i="1" l="1"/>
  <c r="B434" i="1"/>
  <c r="C434" i="1"/>
  <c r="A436" i="1" l="1"/>
  <c r="B435" i="1"/>
  <c r="C435" i="1"/>
  <c r="A437" i="1" l="1"/>
  <c r="B436" i="1"/>
  <c r="C436" i="1"/>
  <c r="B437" i="1" l="1"/>
  <c r="C437" i="1"/>
  <c r="A438" i="1"/>
  <c r="A439" i="1" l="1"/>
  <c r="B438" i="1"/>
  <c r="C438" i="1"/>
  <c r="A440" i="1" l="1"/>
  <c r="B439" i="1"/>
  <c r="C439" i="1"/>
  <c r="A441" i="1" l="1"/>
  <c r="B440" i="1"/>
  <c r="C440" i="1"/>
  <c r="A442" i="1" l="1"/>
  <c r="B441" i="1"/>
  <c r="C441" i="1"/>
  <c r="A443" i="1" l="1"/>
  <c r="B442" i="1"/>
  <c r="C442" i="1"/>
  <c r="A444" i="1" l="1"/>
  <c r="B443" i="1"/>
  <c r="C443" i="1"/>
  <c r="A445" i="1" l="1"/>
  <c r="B444" i="1"/>
  <c r="C444" i="1"/>
  <c r="A446" i="1" l="1"/>
  <c r="B445" i="1"/>
  <c r="C445" i="1"/>
  <c r="A447" i="1" l="1"/>
  <c r="B446" i="1"/>
  <c r="C446" i="1"/>
  <c r="A448" i="1" l="1"/>
  <c r="B447" i="1"/>
  <c r="C447" i="1"/>
  <c r="A449" i="1" l="1"/>
  <c r="B448" i="1"/>
  <c r="C448" i="1"/>
  <c r="A450" i="1" l="1"/>
  <c r="B449" i="1"/>
  <c r="C449" i="1"/>
  <c r="A451" i="1" l="1"/>
  <c r="B450" i="1"/>
  <c r="C450" i="1"/>
  <c r="A452" i="1" l="1"/>
  <c r="B451" i="1"/>
  <c r="C451" i="1"/>
  <c r="A453" i="1" l="1"/>
  <c r="B452" i="1"/>
  <c r="C452" i="1"/>
  <c r="A454" i="1" l="1"/>
  <c r="B453" i="1"/>
  <c r="C453" i="1"/>
  <c r="A455" i="1" l="1"/>
  <c r="B454" i="1"/>
  <c r="C454" i="1"/>
  <c r="A456" i="1" l="1"/>
  <c r="B455" i="1"/>
  <c r="C455" i="1"/>
  <c r="A457" i="1" l="1"/>
  <c r="B456" i="1"/>
  <c r="C456" i="1"/>
  <c r="A458" i="1" l="1"/>
  <c r="B457" i="1"/>
  <c r="C457" i="1"/>
  <c r="A459" i="1" l="1"/>
  <c r="B458" i="1"/>
  <c r="C458" i="1"/>
  <c r="A460" i="1" l="1"/>
  <c r="B459" i="1"/>
  <c r="C459" i="1"/>
  <c r="A461" i="1" l="1"/>
  <c r="B460" i="1"/>
  <c r="C460" i="1"/>
  <c r="A462" i="1" l="1"/>
  <c r="B461" i="1"/>
  <c r="C461" i="1"/>
  <c r="A463" i="1" l="1"/>
  <c r="B462" i="1"/>
  <c r="C462" i="1"/>
  <c r="A464" i="1" l="1"/>
  <c r="B463" i="1"/>
  <c r="C463" i="1"/>
  <c r="A465" i="1" l="1"/>
  <c r="B464" i="1"/>
  <c r="C464" i="1"/>
  <c r="A466" i="1" l="1"/>
  <c r="B465" i="1"/>
  <c r="C465" i="1"/>
  <c r="A467" i="1" l="1"/>
  <c r="B466" i="1"/>
  <c r="C466" i="1"/>
  <c r="A468" i="1" l="1"/>
  <c r="B467" i="1"/>
  <c r="C467" i="1"/>
  <c r="A469" i="1" l="1"/>
  <c r="B468" i="1"/>
  <c r="C468" i="1"/>
  <c r="A470" i="1" l="1"/>
  <c r="B469" i="1"/>
  <c r="C469" i="1"/>
  <c r="A471" i="1" l="1"/>
  <c r="B470" i="1"/>
  <c r="C470" i="1"/>
  <c r="A472" i="1" l="1"/>
  <c r="B471" i="1"/>
  <c r="C471" i="1"/>
  <c r="A473" i="1" l="1"/>
  <c r="B472" i="1"/>
  <c r="C472" i="1"/>
  <c r="A474" i="1" l="1"/>
  <c r="B473" i="1"/>
  <c r="C473" i="1"/>
  <c r="A475" i="1" l="1"/>
  <c r="B474" i="1"/>
  <c r="C474" i="1"/>
  <c r="A476" i="1" l="1"/>
  <c r="B475" i="1"/>
  <c r="C475" i="1"/>
  <c r="A477" i="1" l="1"/>
  <c r="B476" i="1"/>
  <c r="C476" i="1"/>
  <c r="A478" i="1" l="1"/>
  <c r="B477" i="1"/>
  <c r="C477" i="1"/>
  <c r="A479" i="1" l="1"/>
  <c r="B478" i="1"/>
  <c r="C478" i="1"/>
  <c r="A480" i="1" l="1"/>
  <c r="B479" i="1"/>
  <c r="C479" i="1"/>
  <c r="A481" i="1" l="1"/>
  <c r="B480" i="1"/>
  <c r="C480" i="1"/>
  <c r="A482" i="1" l="1"/>
  <c r="B481" i="1"/>
  <c r="C481" i="1"/>
  <c r="A483" i="1" l="1"/>
  <c r="B482" i="1"/>
  <c r="C482" i="1"/>
  <c r="A484" i="1" l="1"/>
  <c r="B483" i="1"/>
  <c r="C483" i="1"/>
  <c r="A485" i="1" l="1"/>
  <c r="B484" i="1"/>
  <c r="C484" i="1"/>
  <c r="A486" i="1" l="1"/>
  <c r="B485" i="1"/>
  <c r="C485" i="1"/>
  <c r="A487" i="1" l="1"/>
  <c r="B486" i="1"/>
  <c r="C486" i="1"/>
  <c r="A488" i="1" l="1"/>
  <c r="B487" i="1"/>
  <c r="C487" i="1"/>
  <c r="A489" i="1" l="1"/>
  <c r="B488" i="1"/>
  <c r="C488" i="1"/>
  <c r="A490" i="1" l="1"/>
  <c r="B489" i="1"/>
  <c r="C489" i="1"/>
  <c r="A491" i="1" l="1"/>
  <c r="B490" i="1"/>
  <c r="C490" i="1"/>
  <c r="A492" i="1" l="1"/>
  <c r="B491" i="1"/>
  <c r="C491" i="1"/>
  <c r="A493" i="1" l="1"/>
  <c r="B492" i="1"/>
  <c r="C492" i="1"/>
  <c r="A494" i="1" l="1"/>
  <c r="B493" i="1"/>
  <c r="C493" i="1"/>
  <c r="A495" i="1" l="1"/>
  <c r="B494" i="1"/>
  <c r="C494" i="1"/>
  <c r="A496" i="1" l="1"/>
  <c r="B495" i="1"/>
  <c r="C495" i="1"/>
  <c r="A497" i="1" l="1"/>
  <c r="B496" i="1"/>
  <c r="C496" i="1"/>
  <c r="A498" i="1" l="1"/>
  <c r="B497" i="1"/>
  <c r="C497" i="1"/>
  <c r="A499" i="1" l="1"/>
  <c r="B498" i="1"/>
  <c r="C498" i="1"/>
  <c r="A500" i="1" l="1"/>
  <c r="B499" i="1"/>
  <c r="C499" i="1"/>
  <c r="A501" i="1" l="1"/>
  <c r="B500" i="1"/>
  <c r="C500" i="1"/>
  <c r="A502" i="1" l="1"/>
  <c r="B501" i="1"/>
  <c r="C501" i="1"/>
  <c r="A503" i="1" l="1"/>
  <c r="B502" i="1"/>
  <c r="C502" i="1"/>
  <c r="A504" i="1" l="1"/>
  <c r="B503" i="1"/>
  <c r="C503" i="1"/>
  <c r="A505" i="1" l="1"/>
  <c r="B504" i="1"/>
  <c r="C504" i="1"/>
  <c r="A506" i="1" l="1"/>
  <c r="B505" i="1"/>
  <c r="C505" i="1"/>
  <c r="A507" i="1" l="1"/>
  <c r="B506" i="1"/>
  <c r="C506" i="1"/>
  <c r="A508" i="1" l="1"/>
  <c r="C507" i="1"/>
  <c r="B507" i="1"/>
  <c r="A509" i="1" l="1"/>
  <c r="C508" i="1"/>
  <c r="B508" i="1"/>
  <c r="A510" i="1" l="1"/>
  <c r="C509" i="1"/>
  <c r="B509" i="1"/>
  <c r="A511" i="1" l="1"/>
  <c r="C510" i="1"/>
  <c r="B510" i="1"/>
  <c r="A512" i="1" l="1"/>
  <c r="C511" i="1"/>
  <c r="B511" i="1"/>
  <c r="A513" i="1" l="1"/>
  <c r="C512" i="1"/>
  <c r="B512" i="1"/>
  <c r="A514" i="1" l="1"/>
  <c r="C513" i="1"/>
  <c r="B513" i="1"/>
  <c r="A515" i="1" l="1"/>
  <c r="C514" i="1"/>
  <c r="B514" i="1"/>
  <c r="A516" i="1" l="1"/>
  <c r="C515" i="1"/>
  <c r="B515" i="1"/>
  <c r="A517" i="1" l="1"/>
  <c r="C516" i="1"/>
  <c r="B516" i="1"/>
  <c r="C517" i="1" l="1"/>
  <c r="A518" i="1"/>
  <c r="B517" i="1"/>
  <c r="C518" i="1" l="1"/>
  <c r="B518" i="1"/>
  <c r="A519" i="1"/>
  <c r="A520" i="1" l="1"/>
  <c r="C519" i="1"/>
  <c r="B519" i="1"/>
  <c r="A521" i="1" l="1"/>
  <c r="C520" i="1"/>
  <c r="B520" i="1"/>
  <c r="A522" i="1" l="1"/>
  <c r="C521" i="1"/>
  <c r="B521" i="1"/>
  <c r="A523" i="1" l="1"/>
  <c r="C522" i="1"/>
  <c r="B522" i="1"/>
  <c r="A524" i="1" l="1"/>
  <c r="C523" i="1"/>
  <c r="B523" i="1"/>
  <c r="A525" i="1" l="1"/>
  <c r="C524" i="1"/>
  <c r="B524" i="1"/>
  <c r="A526" i="1" l="1"/>
  <c r="C525" i="1"/>
  <c r="B525" i="1"/>
  <c r="A527" i="1" l="1"/>
  <c r="C526" i="1"/>
  <c r="B526" i="1"/>
  <c r="A528" i="1" l="1"/>
  <c r="C527" i="1"/>
  <c r="B527" i="1"/>
  <c r="A529" i="1" l="1"/>
  <c r="C528" i="1"/>
  <c r="B528" i="1"/>
  <c r="A530" i="1" l="1"/>
  <c r="C529" i="1"/>
  <c r="B529" i="1"/>
  <c r="A531" i="1" l="1"/>
  <c r="C530" i="1"/>
  <c r="B530" i="1"/>
  <c r="A532" i="1" l="1"/>
  <c r="C531" i="1"/>
  <c r="B531" i="1"/>
  <c r="A533" i="1" l="1"/>
  <c r="C532" i="1"/>
  <c r="B532" i="1"/>
  <c r="A534" i="1" l="1"/>
  <c r="C533" i="1"/>
  <c r="B533" i="1"/>
  <c r="A535" i="1" l="1"/>
  <c r="C534" i="1"/>
  <c r="B534" i="1"/>
  <c r="C535" i="1" l="1"/>
  <c r="A536" i="1"/>
  <c r="B535" i="1"/>
  <c r="C536" i="1" l="1"/>
  <c r="B536" i="1"/>
  <c r="A537" i="1"/>
  <c r="A538" i="1" l="1"/>
  <c r="C537" i="1"/>
  <c r="B537" i="1"/>
  <c r="A539" i="1" l="1"/>
  <c r="C538" i="1"/>
  <c r="B538" i="1"/>
  <c r="A540" i="1" l="1"/>
  <c r="C539" i="1"/>
  <c r="B539" i="1"/>
  <c r="A541" i="1" l="1"/>
  <c r="C540" i="1"/>
  <c r="B540" i="1"/>
  <c r="A542" i="1" l="1"/>
  <c r="C541" i="1"/>
  <c r="B541" i="1"/>
  <c r="A543" i="1" l="1"/>
  <c r="C542" i="1"/>
  <c r="B542" i="1"/>
  <c r="A544" i="1" l="1"/>
  <c r="C543" i="1"/>
  <c r="B543" i="1"/>
  <c r="A545" i="1" l="1"/>
  <c r="C544" i="1"/>
  <c r="B544" i="1"/>
  <c r="A546" i="1" l="1"/>
  <c r="C545" i="1"/>
  <c r="B545" i="1"/>
  <c r="A547" i="1" l="1"/>
  <c r="C546" i="1"/>
  <c r="B546" i="1"/>
  <c r="A548" i="1" l="1"/>
  <c r="C547" i="1"/>
  <c r="B547" i="1"/>
  <c r="A549" i="1" l="1"/>
  <c r="C548" i="1"/>
  <c r="B548" i="1"/>
  <c r="A550" i="1" l="1"/>
  <c r="C549" i="1"/>
  <c r="B549" i="1"/>
  <c r="A551" i="1" l="1"/>
  <c r="C550" i="1"/>
  <c r="B550" i="1"/>
  <c r="A552" i="1" l="1"/>
  <c r="C551" i="1"/>
  <c r="B551" i="1"/>
  <c r="A553" i="1" l="1"/>
  <c r="C552" i="1"/>
  <c r="B552" i="1"/>
  <c r="C553" i="1" l="1"/>
  <c r="A554" i="1"/>
  <c r="B553" i="1"/>
  <c r="C554" i="1" l="1"/>
  <c r="B554" i="1"/>
  <c r="A555" i="1"/>
  <c r="A556" i="1" l="1"/>
  <c r="C555" i="1"/>
  <c r="B555" i="1"/>
  <c r="A557" i="1" l="1"/>
  <c r="C556" i="1"/>
  <c r="B556" i="1"/>
  <c r="A558" i="1" l="1"/>
  <c r="C557" i="1"/>
  <c r="B557" i="1"/>
  <c r="A559" i="1" l="1"/>
  <c r="C558" i="1"/>
  <c r="B558" i="1"/>
  <c r="A560" i="1" l="1"/>
  <c r="C559" i="1"/>
  <c r="B559" i="1"/>
  <c r="A561" i="1" l="1"/>
  <c r="C560" i="1"/>
  <c r="B560" i="1"/>
  <c r="A562" i="1" l="1"/>
  <c r="C561" i="1"/>
  <c r="B561" i="1"/>
  <c r="A563" i="1" l="1"/>
  <c r="C562" i="1"/>
  <c r="B562" i="1"/>
  <c r="A564" i="1" l="1"/>
  <c r="C563" i="1"/>
  <c r="B563" i="1"/>
  <c r="A565" i="1" l="1"/>
  <c r="C564" i="1"/>
  <c r="B564" i="1"/>
  <c r="A566" i="1" l="1"/>
  <c r="C565" i="1"/>
  <c r="B565" i="1"/>
  <c r="A567" i="1" l="1"/>
  <c r="C566" i="1"/>
  <c r="B566" i="1"/>
  <c r="A568" i="1" l="1"/>
  <c r="C567" i="1"/>
  <c r="B567" i="1"/>
  <c r="A569" i="1" l="1"/>
  <c r="C568" i="1"/>
  <c r="B568" i="1"/>
  <c r="A570" i="1" l="1"/>
  <c r="C569" i="1"/>
  <c r="B569" i="1"/>
  <c r="A571" i="1" l="1"/>
  <c r="C570" i="1"/>
  <c r="B570" i="1"/>
  <c r="C571" i="1" l="1"/>
  <c r="A572" i="1"/>
  <c r="B571" i="1"/>
  <c r="C572" i="1" l="1"/>
  <c r="B572" i="1"/>
  <c r="A573" i="1"/>
  <c r="A574" i="1" l="1"/>
  <c r="C573" i="1"/>
  <c r="B573" i="1"/>
  <c r="A575" i="1" l="1"/>
  <c r="C574" i="1"/>
  <c r="B574" i="1"/>
  <c r="A576" i="1" l="1"/>
  <c r="C575" i="1"/>
  <c r="B575" i="1"/>
  <c r="A577" i="1" l="1"/>
  <c r="C576" i="1"/>
  <c r="B576" i="1"/>
  <c r="A578" i="1" l="1"/>
  <c r="C577" i="1"/>
  <c r="B577" i="1"/>
  <c r="A579" i="1" l="1"/>
  <c r="C578" i="1"/>
  <c r="B578" i="1"/>
  <c r="A580" i="1" l="1"/>
  <c r="C579" i="1"/>
  <c r="B579" i="1"/>
  <c r="A581" i="1" l="1"/>
  <c r="C580" i="1"/>
  <c r="B580" i="1"/>
  <c r="C581" i="1" l="1"/>
  <c r="B581" i="1"/>
  <c r="A582" i="1"/>
  <c r="A583" i="1" l="1"/>
  <c r="C582" i="1"/>
  <c r="B582" i="1"/>
  <c r="A584" i="1" l="1"/>
  <c r="C583" i="1"/>
  <c r="B583" i="1"/>
  <c r="A585" i="1" l="1"/>
  <c r="C584" i="1"/>
  <c r="B584" i="1"/>
  <c r="A586" i="1" l="1"/>
  <c r="C585" i="1"/>
  <c r="B585" i="1"/>
  <c r="A587" i="1" l="1"/>
  <c r="C586" i="1"/>
  <c r="B586" i="1"/>
  <c r="A588" i="1" l="1"/>
  <c r="C587" i="1"/>
  <c r="B587" i="1"/>
  <c r="A589" i="1" l="1"/>
  <c r="C588" i="1"/>
  <c r="B588" i="1"/>
  <c r="A590" i="1" l="1"/>
  <c r="C589" i="1"/>
  <c r="B589" i="1"/>
  <c r="A591" i="1" l="1"/>
  <c r="C590" i="1"/>
  <c r="B590" i="1"/>
  <c r="A592" i="1" l="1"/>
  <c r="C591" i="1"/>
  <c r="B591" i="1"/>
  <c r="A593" i="1" l="1"/>
  <c r="C592" i="1"/>
  <c r="B592" i="1"/>
  <c r="C593" i="1" l="1"/>
  <c r="A594" i="1"/>
  <c r="B593" i="1"/>
  <c r="A595" i="1" l="1"/>
  <c r="C594" i="1"/>
  <c r="B594" i="1"/>
  <c r="A596" i="1" l="1"/>
  <c r="C595" i="1"/>
  <c r="B595" i="1"/>
  <c r="A597" i="1" l="1"/>
  <c r="C596" i="1"/>
  <c r="B596" i="1"/>
  <c r="A598" i="1" l="1"/>
  <c r="C597" i="1"/>
  <c r="B597" i="1"/>
  <c r="A599" i="1" l="1"/>
  <c r="C598" i="1"/>
  <c r="B598" i="1"/>
  <c r="C599" i="1" l="1"/>
  <c r="B599" i="1"/>
  <c r="A600" i="1"/>
  <c r="A601" i="1" l="1"/>
  <c r="C600" i="1"/>
  <c r="B600" i="1"/>
  <c r="A602" i="1" l="1"/>
  <c r="C601" i="1"/>
  <c r="B601" i="1"/>
  <c r="C602" i="1" l="1"/>
  <c r="B602" i="1"/>
</calcChain>
</file>

<file path=xl/sharedStrings.xml><?xml version="1.0" encoding="utf-8"?>
<sst xmlns="http://schemas.openxmlformats.org/spreadsheetml/2006/main" count="52" uniqueCount="47">
  <si>
    <t>y</t>
  </si>
  <si>
    <t>f(y_F)</t>
  </si>
  <si>
    <t>f(y_M)</t>
  </si>
  <si>
    <t>Female</t>
  </si>
  <si>
    <t>Mean</t>
  </si>
  <si>
    <t>SD</t>
  </si>
  <si>
    <t>Male</t>
  </si>
  <si>
    <t>z_F</t>
  </si>
  <si>
    <t>P(Y_F&lt;CP)</t>
  </si>
  <si>
    <t>z_M</t>
  </si>
  <si>
    <t>P(Y_M&gt;CP)</t>
  </si>
  <si>
    <t>CutPoint(CP)</t>
  </si>
  <si>
    <t>False+</t>
  </si>
  <si>
    <t>1-Col(J)</t>
  </si>
  <si>
    <t>True+</t>
  </si>
  <si>
    <t>Col(L)</t>
  </si>
  <si>
    <t>45DegLine</t>
  </si>
  <si>
    <t>&gt;24</t>
  </si>
  <si>
    <t>BMI\Gender</t>
  </si>
  <si>
    <t>&lt;24</t>
  </si>
  <si>
    <t>F</t>
  </si>
  <si>
    <t>M</t>
  </si>
  <si>
    <t>Normal Probabilities</t>
  </si>
  <si>
    <t>Total</t>
  </si>
  <si>
    <t>Cut-Off</t>
  </si>
  <si>
    <t>Z_F</t>
  </si>
  <si>
    <t>Z_M</t>
  </si>
  <si>
    <t>P(F&lt;CO)</t>
  </si>
  <si>
    <t>P(F&gt;CO)</t>
  </si>
  <si>
    <t>P(M&lt;CO)</t>
  </si>
  <si>
    <t>P(M&gt;CO)</t>
  </si>
  <si>
    <t>CorrectF</t>
  </si>
  <si>
    <t>FalseM</t>
  </si>
  <si>
    <t>FalseF</t>
  </si>
  <si>
    <t>CorrectM</t>
  </si>
  <si>
    <t>P(F)</t>
  </si>
  <si>
    <t>P(M)</t>
  </si>
  <si>
    <t>odds(F)</t>
  </si>
  <si>
    <t>odds(M)</t>
  </si>
  <si>
    <t>P(T+|F)</t>
  </si>
  <si>
    <t>P(T+|M)</t>
  </si>
  <si>
    <t>LR(T+)</t>
  </si>
  <si>
    <t>odds(M|T+)</t>
  </si>
  <si>
    <t>P(M|T+)</t>
  </si>
  <si>
    <t>Trapezoid1</t>
  </si>
  <si>
    <t>Trapezoid2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</si>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</sst>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rgb="FF6600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1" xfId="0" applyFont="1" applyBorder="1"/>
    <xf numFmtId="0" fontId="2" fillId="2" borderId="2" xfId="0" applyFont="1" applyFill="1" applyBorder="1"/>
    <xf numFmtId="165" fontId="2" fillId="2" borderId="2" xfId="0" applyNumberFormat="1" applyFont="1" applyFill="1" applyBorder="1"/>
    <xf numFmtId="0" fontId="2" fillId="3" borderId="2" xfId="0" applyFont="1" applyFill="1" applyBorder="1"/>
    <xf numFmtId="165" fontId="2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0066"/>
      <color rgb="FF006600"/>
      <color rgb="FF99FFCC"/>
      <color rgb="FF32F82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styles" Target="style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3.xml"/><Relationship Id="rId4" Type="http://schemas.openxmlformats.org/officeDocument/2006/relationships/worksheet" Target="worksheets/sheet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WNBA and NBA BMI Distributions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f(y_F)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Sheet1!$A$2:$A$604</c:f>
              <c:numCache>
                <c:formatCode>General</c:formatCode>
                <c:ptCount val="603"/>
                <c:pt idx="0">
                  <c:v>15</c:v>
                </c:pt>
                <c:pt idx="1">
                  <c:v>15.025</c:v>
                </c:pt>
                <c:pt idx="2">
                  <c:v>15.05</c:v>
                </c:pt>
                <c:pt idx="3">
                  <c:v>15.075000000000001</c:v>
                </c:pt>
                <c:pt idx="4">
                  <c:v>15.100000000000001</c:v>
                </c:pt>
                <c:pt idx="5">
                  <c:v>15.125000000000002</c:v>
                </c:pt>
                <c:pt idx="6">
                  <c:v>15.150000000000002</c:v>
                </c:pt>
                <c:pt idx="7">
                  <c:v>15.175000000000002</c:v>
                </c:pt>
                <c:pt idx="8">
                  <c:v>15.200000000000003</c:v>
                </c:pt>
                <c:pt idx="9">
                  <c:v>15.225000000000003</c:v>
                </c:pt>
                <c:pt idx="10">
                  <c:v>15.250000000000004</c:v>
                </c:pt>
                <c:pt idx="11">
                  <c:v>15.275000000000004</c:v>
                </c:pt>
                <c:pt idx="12">
                  <c:v>15.300000000000004</c:v>
                </c:pt>
                <c:pt idx="13">
                  <c:v>15.325000000000005</c:v>
                </c:pt>
                <c:pt idx="14">
                  <c:v>15.350000000000005</c:v>
                </c:pt>
                <c:pt idx="15">
                  <c:v>15.375000000000005</c:v>
                </c:pt>
                <c:pt idx="16">
                  <c:v>15.400000000000006</c:v>
                </c:pt>
                <c:pt idx="17">
                  <c:v>15.425000000000006</c:v>
                </c:pt>
                <c:pt idx="18">
                  <c:v>15.450000000000006</c:v>
                </c:pt>
                <c:pt idx="19">
                  <c:v>15.475000000000007</c:v>
                </c:pt>
                <c:pt idx="20">
                  <c:v>15.500000000000007</c:v>
                </c:pt>
                <c:pt idx="21">
                  <c:v>15.525000000000007</c:v>
                </c:pt>
                <c:pt idx="22">
                  <c:v>15.550000000000008</c:v>
                </c:pt>
                <c:pt idx="23">
                  <c:v>15.575000000000008</c:v>
                </c:pt>
                <c:pt idx="24">
                  <c:v>15.600000000000009</c:v>
                </c:pt>
                <c:pt idx="25">
                  <c:v>15.625000000000009</c:v>
                </c:pt>
                <c:pt idx="26">
                  <c:v>15.650000000000009</c:v>
                </c:pt>
                <c:pt idx="27">
                  <c:v>15.67500000000001</c:v>
                </c:pt>
                <c:pt idx="28">
                  <c:v>15.70000000000001</c:v>
                </c:pt>
                <c:pt idx="29">
                  <c:v>15.72500000000001</c:v>
                </c:pt>
                <c:pt idx="30">
                  <c:v>15.750000000000011</c:v>
                </c:pt>
                <c:pt idx="31">
                  <c:v>15.775000000000011</c:v>
                </c:pt>
                <c:pt idx="32">
                  <c:v>15.800000000000011</c:v>
                </c:pt>
                <c:pt idx="33">
                  <c:v>15.825000000000012</c:v>
                </c:pt>
                <c:pt idx="34">
                  <c:v>15.850000000000012</c:v>
                </c:pt>
                <c:pt idx="35">
                  <c:v>15.875000000000012</c:v>
                </c:pt>
                <c:pt idx="36">
                  <c:v>15.900000000000013</c:v>
                </c:pt>
                <c:pt idx="37">
                  <c:v>15.925000000000013</c:v>
                </c:pt>
                <c:pt idx="38">
                  <c:v>15.950000000000014</c:v>
                </c:pt>
                <c:pt idx="39">
                  <c:v>15.975000000000014</c:v>
                </c:pt>
                <c:pt idx="40">
                  <c:v>16.000000000000014</c:v>
                </c:pt>
                <c:pt idx="41">
                  <c:v>16.025000000000013</c:v>
                </c:pt>
                <c:pt idx="42">
                  <c:v>16.050000000000011</c:v>
                </c:pt>
                <c:pt idx="43">
                  <c:v>16.07500000000001</c:v>
                </c:pt>
                <c:pt idx="44">
                  <c:v>16.100000000000009</c:v>
                </c:pt>
                <c:pt idx="45">
                  <c:v>16.125000000000007</c:v>
                </c:pt>
                <c:pt idx="46">
                  <c:v>16.150000000000006</c:v>
                </c:pt>
                <c:pt idx="47">
                  <c:v>16.175000000000004</c:v>
                </c:pt>
                <c:pt idx="48">
                  <c:v>16.200000000000003</c:v>
                </c:pt>
                <c:pt idx="49">
                  <c:v>16.225000000000001</c:v>
                </c:pt>
                <c:pt idx="50">
                  <c:v>16.25</c:v>
                </c:pt>
                <c:pt idx="51">
                  <c:v>16.274999999999999</c:v>
                </c:pt>
                <c:pt idx="52">
                  <c:v>16.299999999999997</c:v>
                </c:pt>
                <c:pt idx="53">
                  <c:v>16.324999999999996</c:v>
                </c:pt>
                <c:pt idx="54">
                  <c:v>16.349999999999994</c:v>
                </c:pt>
                <c:pt idx="55">
                  <c:v>16.374999999999993</c:v>
                </c:pt>
                <c:pt idx="56">
                  <c:v>16.399999999999991</c:v>
                </c:pt>
                <c:pt idx="57">
                  <c:v>16.42499999999999</c:v>
                </c:pt>
                <c:pt idx="58">
                  <c:v>16.449999999999989</c:v>
                </c:pt>
                <c:pt idx="59">
                  <c:v>16.474999999999987</c:v>
                </c:pt>
                <c:pt idx="60">
                  <c:v>16.499999999999986</c:v>
                </c:pt>
                <c:pt idx="61">
                  <c:v>16.524999999999984</c:v>
                </c:pt>
                <c:pt idx="62">
                  <c:v>16.549999999999983</c:v>
                </c:pt>
                <c:pt idx="63">
                  <c:v>16.574999999999982</c:v>
                </c:pt>
                <c:pt idx="64">
                  <c:v>16.59999999999998</c:v>
                </c:pt>
                <c:pt idx="65">
                  <c:v>16.624999999999979</c:v>
                </c:pt>
                <c:pt idx="66">
                  <c:v>16.649999999999977</c:v>
                </c:pt>
                <c:pt idx="67">
                  <c:v>16.674999999999976</c:v>
                </c:pt>
                <c:pt idx="68">
                  <c:v>16.699999999999974</c:v>
                </c:pt>
                <c:pt idx="69">
                  <c:v>16.724999999999973</c:v>
                </c:pt>
                <c:pt idx="70">
                  <c:v>16.749999999999972</c:v>
                </c:pt>
                <c:pt idx="71">
                  <c:v>16.77499999999997</c:v>
                </c:pt>
                <c:pt idx="72">
                  <c:v>16.799999999999969</c:v>
                </c:pt>
                <c:pt idx="73">
                  <c:v>16.824999999999967</c:v>
                </c:pt>
                <c:pt idx="74">
                  <c:v>16.849999999999966</c:v>
                </c:pt>
                <c:pt idx="75">
                  <c:v>16.874999999999964</c:v>
                </c:pt>
                <c:pt idx="76">
                  <c:v>16.899999999999963</c:v>
                </c:pt>
                <c:pt idx="77">
                  <c:v>16.924999999999962</c:v>
                </c:pt>
                <c:pt idx="78">
                  <c:v>16.94999999999996</c:v>
                </c:pt>
                <c:pt idx="79">
                  <c:v>16.974999999999959</c:v>
                </c:pt>
                <c:pt idx="80">
                  <c:v>16.999999999999957</c:v>
                </c:pt>
                <c:pt idx="81">
                  <c:v>17.024999999999956</c:v>
                </c:pt>
                <c:pt idx="82">
                  <c:v>17.049999999999955</c:v>
                </c:pt>
                <c:pt idx="83">
                  <c:v>17.074999999999953</c:v>
                </c:pt>
                <c:pt idx="84">
                  <c:v>17.099999999999952</c:v>
                </c:pt>
                <c:pt idx="85">
                  <c:v>17.12499999999995</c:v>
                </c:pt>
                <c:pt idx="86">
                  <c:v>17.149999999999949</c:v>
                </c:pt>
                <c:pt idx="87">
                  <c:v>17.174999999999947</c:v>
                </c:pt>
                <c:pt idx="88">
                  <c:v>17.199999999999946</c:v>
                </c:pt>
                <c:pt idx="89">
                  <c:v>17.224999999999945</c:v>
                </c:pt>
                <c:pt idx="90">
                  <c:v>17.249999999999943</c:v>
                </c:pt>
                <c:pt idx="91">
                  <c:v>17.274999999999942</c:v>
                </c:pt>
                <c:pt idx="92">
                  <c:v>17.29999999999994</c:v>
                </c:pt>
                <c:pt idx="93">
                  <c:v>17.324999999999939</c:v>
                </c:pt>
                <c:pt idx="94">
                  <c:v>17.349999999999937</c:v>
                </c:pt>
                <c:pt idx="95">
                  <c:v>17.374999999999936</c:v>
                </c:pt>
                <c:pt idx="96">
                  <c:v>17.399999999999935</c:v>
                </c:pt>
                <c:pt idx="97">
                  <c:v>17.424999999999933</c:v>
                </c:pt>
                <c:pt idx="98">
                  <c:v>17.449999999999932</c:v>
                </c:pt>
                <c:pt idx="99">
                  <c:v>17.47499999999993</c:v>
                </c:pt>
                <c:pt idx="100">
                  <c:v>17.499999999999929</c:v>
                </c:pt>
                <c:pt idx="101">
                  <c:v>17.524999999999928</c:v>
                </c:pt>
                <c:pt idx="102">
                  <c:v>17.549999999999926</c:v>
                </c:pt>
                <c:pt idx="103">
                  <c:v>17.574999999999925</c:v>
                </c:pt>
                <c:pt idx="104">
                  <c:v>17.599999999999923</c:v>
                </c:pt>
                <c:pt idx="105">
                  <c:v>17.624999999999922</c:v>
                </c:pt>
                <c:pt idx="106">
                  <c:v>17.64999999999992</c:v>
                </c:pt>
                <c:pt idx="107">
                  <c:v>17.674999999999919</c:v>
                </c:pt>
                <c:pt idx="108">
                  <c:v>17.699999999999918</c:v>
                </c:pt>
                <c:pt idx="109">
                  <c:v>17.724999999999916</c:v>
                </c:pt>
                <c:pt idx="110">
                  <c:v>17.749999999999915</c:v>
                </c:pt>
                <c:pt idx="111">
                  <c:v>17.774999999999913</c:v>
                </c:pt>
                <c:pt idx="112">
                  <c:v>17.799999999999912</c:v>
                </c:pt>
                <c:pt idx="113">
                  <c:v>17.82499999999991</c:v>
                </c:pt>
                <c:pt idx="114">
                  <c:v>17.849999999999909</c:v>
                </c:pt>
                <c:pt idx="115">
                  <c:v>17.874999999999908</c:v>
                </c:pt>
                <c:pt idx="116">
                  <c:v>17.899999999999906</c:v>
                </c:pt>
                <c:pt idx="117">
                  <c:v>17.924999999999905</c:v>
                </c:pt>
                <c:pt idx="118">
                  <c:v>17.949999999999903</c:v>
                </c:pt>
                <c:pt idx="119">
                  <c:v>17.974999999999902</c:v>
                </c:pt>
                <c:pt idx="120">
                  <c:v>17.999999999999901</c:v>
                </c:pt>
                <c:pt idx="121">
                  <c:v>18.024999999999899</c:v>
                </c:pt>
                <c:pt idx="122">
                  <c:v>18.049999999999898</c:v>
                </c:pt>
                <c:pt idx="123">
                  <c:v>18.074999999999896</c:v>
                </c:pt>
                <c:pt idx="124">
                  <c:v>18.099999999999895</c:v>
                </c:pt>
                <c:pt idx="125">
                  <c:v>18.124999999999893</c:v>
                </c:pt>
                <c:pt idx="126">
                  <c:v>18.149999999999892</c:v>
                </c:pt>
                <c:pt idx="127">
                  <c:v>18.174999999999891</c:v>
                </c:pt>
                <c:pt idx="128">
                  <c:v>18.199999999999889</c:v>
                </c:pt>
                <c:pt idx="129">
                  <c:v>18.224999999999888</c:v>
                </c:pt>
                <c:pt idx="130">
                  <c:v>18.249999999999886</c:v>
                </c:pt>
                <c:pt idx="131">
                  <c:v>18.274999999999885</c:v>
                </c:pt>
                <c:pt idx="132">
                  <c:v>18.299999999999883</c:v>
                </c:pt>
                <c:pt idx="133">
                  <c:v>18.324999999999882</c:v>
                </c:pt>
                <c:pt idx="134">
                  <c:v>18.349999999999881</c:v>
                </c:pt>
                <c:pt idx="135">
                  <c:v>18.374999999999879</c:v>
                </c:pt>
                <c:pt idx="136">
                  <c:v>18.399999999999878</c:v>
                </c:pt>
                <c:pt idx="137">
                  <c:v>18.424999999999876</c:v>
                </c:pt>
                <c:pt idx="138">
                  <c:v>18.449999999999875</c:v>
                </c:pt>
                <c:pt idx="139">
                  <c:v>18.474999999999874</c:v>
                </c:pt>
                <c:pt idx="140">
                  <c:v>18.499999999999872</c:v>
                </c:pt>
                <c:pt idx="141">
                  <c:v>18.524999999999871</c:v>
                </c:pt>
                <c:pt idx="142">
                  <c:v>18.549999999999869</c:v>
                </c:pt>
                <c:pt idx="143">
                  <c:v>18.574999999999868</c:v>
                </c:pt>
                <c:pt idx="144">
                  <c:v>18.599999999999866</c:v>
                </c:pt>
                <c:pt idx="145">
                  <c:v>18.624999999999865</c:v>
                </c:pt>
                <c:pt idx="146">
                  <c:v>18.649999999999864</c:v>
                </c:pt>
                <c:pt idx="147">
                  <c:v>18.674999999999862</c:v>
                </c:pt>
                <c:pt idx="148">
                  <c:v>18.699999999999861</c:v>
                </c:pt>
                <c:pt idx="149">
                  <c:v>18.724999999999859</c:v>
                </c:pt>
                <c:pt idx="150">
                  <c:v>18.749999999999858</c:v>
                </c:pt>
                <c:pt idx="151">
                  <c:v>18.774999999999856</c:v>
                </c:pt>
                <c:pt idx="152">
                  <c:v>18.799999999999855</c:v>
                </c:pt>
                <c:pt idx="153">
                  <c:v>18.824999999999854</c:v>
                </c:pt>
                <c:pt idx="154">
                  <c:v>18.849999999999852</c:v>
                </c:pt>
                <c:pt idx="155">
                  <c:v>18.874999999999851</c:v>
                </c:pt>
                <c:pt idx="156">
                  <c:v>18.899999999999849</c:v>
                </c:pt>
                <c:pt idx="157">
                  <c:v>18.924999999999848</c:v>
                </c:pt>
                <c:pt idx="158">
                  <c:v>18.949999999999847</c:v>
                </c:pt>
                <c:pt idx="159">
                  <c:v>18.974999999999845</c:v>
                </c:pt>
                <c:pt idx="160">
                  <c:v>18.999999999999844</c:v>
                </c:pt>
                <c:pt idx="161">
                  <c:v>19.024999999999842</c:v>
                </c:pt>
                <c:pt idx="162">
                  <c:v>19.049999999999841</c:v>
                </c:pt>
                <c:pt idx="163">
                  <c:v>19.074999999999839</c:v>
                </c:pt>
                <c:pt idx="164">
                  <c:v>19.099999999999838</c:v>
                </c:pt>
                <c:pt idx="165">
                  <c:v>19.124999999999837</c:v>
                </c:pt>
                <c:pt idx="166">
                  <c:v>19.149999999999835</c:v>
                </c:pt>
                <c:pt idx="167">
                  <c:v>19.174999999999834</c:v>
                </c:pt>
                <c:pt idx="168">
                  <c:v>19.199999999999832</c:v>
                </c:pt>
                <c:pt idx="169">
                  <c:v>19.224999999999831</c:v>
                </c:pt>
                <c:pt idx="170">
                  <c:v>19.249999999999829</c:v>
                </c:pt>
                <c:pt idx="171">
                  <c:v>19.274999999999828</c:v>
                </c:pt>
                <c:pt idx="172">
                  <c:v>19.299999999999827</c:v>
                </c:pt>
                <c:pt idx="173">
                  <c:v>19.324999999999825</c:v>
                </c:pt>
                <c:pt idx="174">
                  <c:v>19.349999999999824</c:v>
                </c:pt>
                <c:pt idx="175">
                  <c:v>19.374999999999822</c:v>
                </c:pt>
                <c:pt idx="176">
                  <c:v>19.399999999999821</c:v>
                </c:pt>
                <c:pt idx="177">
                  <c:v>19.42499999999982</c:v>
                </c:pt>
                <c:pt idx="178">
                  <c:v>19.449999999999818</c:v>
                </c:pt>
                <c:pt idx="179">
                  <c:v>19.474999999999817</c:v>
                </c:pt>
                <c:pt idx="180">
                  <c:v>19.499999999999815</c:v>
                </c:pt>
                <c:pt idx="181">
                  <c:v>19.524999999999814</c:v>
                </c:pt>
                <c:pt idx="182">
                  <c:v>19.549999999999812</c:v>
                </c:pt>
                <c:pt idx="183">
                  <c:v>19.574999999999811</c:v>
                </c:pt>
                <c:pt idx="184">
                  <c:v>19.59999999999981</c:v>
                </c:pt>
                <c:pt idx="185">
                  <c:v>19.624999999999808</c:v>
                </c:pt>
                <c:pt idx="186">
                  <c:v>19.649999999999807</c:v>
                </c:pt>
                <c:pt idx="187">
                  <c:v>19.674999999999805</c:v>
                </c:pt>
                <c:pt idx="188">
                  <c:v>19.699999999999804</c:v>
                </c:pt>
                <c:pt idx="189">
                  <c:v>19.724999999999802</c:v>
                </c:pt>
                <c:pt idx="190">
                  <c:v>19.749999999999801</c:v>
                </c:pt>
                <c:pt idx="191">
                  <c:v>19.7749999999998</c:v>
                </c:pt>
                <c:pt idx="192">
                  <c:v>19.799999999999798</c:v>
                </c:pt>
                <c:pt idx="193">
                  <c:v>19.824999999999797</c:v>
                </c:pt>
                <c:pt idx="194">
                  <c:v>19.849999999999795</c:v>
                </c:pt>
                <c:pt idx="195">
                  <c:v>19.874999999999794</c:v>
                </c:pt>
                <c:pt idx="196">
                  <c:v>19.899999999999793</c:v>
                </c:pt>
                <c:pt idx="197">
                  <c:v>19.924999999999791</c:v>
                </c:pt>
                <c:pt idx="198">
                  <c:v>19.94999999999979</c:v>
                </c:pt>
                <c:pt idx="199">
                  <c:v>19.974999999999788</c:v>
                </c:pt>
                <c:pt idx="200">
                  <c:v>19.999999999999787</c:v>
                </c:pt>
                <c:pt idx="201">
                  <c:v>20.024999999999785</c:v>
                </c:pt>
                <c:pt idx="202">
                  <c:v>20.049999999999784</c:v>
                </c:pt>
                <c:pt idx="203">
                  <c:v>20.074999999999783</c:v>
                </c:pt>
                <c:pt idx="204">
                  <c:v>20.099999999999781</c:v>
                </c:pt>
                <c:pt idx="205">
                  <c:v>20.12499999999978</c:v>
                </c:pt>
                <c:pt idx="206">
                  <c:v>20.149999999999778</c:v>
                </c:pt>
                <c:pt idx="207">
                  <c:v>20.174999999999777</c:v>
                </c:pt>
                <c:pt idx="208">
                  <c:v>20.199999999999775</c:v>
                </c:pt>
                <c:pt idx="209">
                  <c:v>20.224999999999774</c:v>
                </c:pt>
                <c:pt idx="210">
                  <c:v>20.249999999999773</c:v>
                </c:pt>
                <c:pt idx="211">
                  <c:v>20.274999999999771</c:v>
                </c:pt>
                <c:pt idx="212">
                  <c:v>20.29999999999977</c:v>
                </c:pt>
                <c:pt idx="213">
                  <c:v>20.324999999999768</c:v>
                </c:pt>
                <c:pt idx="214">
                  <c:v>20.349999999999767</c:v>
                </c:pt>
                <c:pt idx="215">
                  <c:v>20.374999999999766</c:v>
                </c:pt>
                <c:pt idx="216">
                  <c:v>20.399999999999764</c:v>
                </c:pt>
                <c:pt idx="217">
                  <c:v>20.424999999999763</c:v>
                </c:pt>
                <c:pt idx="218">
                  <c:v>20.449999999999761</c:v>
                </c:pt>
                <c:pt idx="219">
                  <c:v>20.47499999999976</c:v>
                </c:pt>
                <c:pt idx="220">
                  <c:v>20.499999999999758</c:v>
                </c:pt>
                <c:pt idx="221">
                  <c:v>20.524999999999757</c:v>
                </c:pt>
                <c:pt idx="222">
                  <c:v>20.549999999999756</c:v>
                </c:pt>
                <c:pt idx="223">
                  <c:v>20.574999999999754</c:v>
                </c:pt>
                <c:pt idx="224">
                  <c:v>20.599999999999753</c:v>
                </c:pt>
                <c:pt idx="225">
                  <c:v>20.624999999999751</c:v>
                </c:pt>
                <c:pt idx="226">
                  <c:v>20.64999999999975</c:v>
                </c:pt>
                <c:pt idx="227">
                  <c:v>20.674999999999748</c:v>
                </c:pt>
                <c:pt idx="228">
                  <c:v>20.699999999999747</c:v>
                </c:pt>
                <c:pt idx="229">
                  <c:v>20.724999999999746</c:v>
                </c:pt>
                <c:pt idx="230">
                  <c:v>20.749999999999744</c:v>
                </c:pt>
                <c:pt idx="231">
                  <c:v>20.774999999999743</c:v>
                </c:pt>
                <c:pt idx="232">
                  <c:v>20.799999999999741</c:v>
                </c:pt>
                <c:pt idx="233">
                  <c:v>20.82499999999974</c:v>
                </c:pt>
                <c:pt idx="234">
                  <c:v>20.849999999999739</c:v>
                </c:pt>
                <c:pt idx="235">
                  <c:v>20.874999999999737</c:v>
                </c:pt>
                <c:pt idx="236">
                  <c:v>20.899999999999736</c:v>
                </c:pt>
                <c:pt idx="237">
                  <c:v>20.924999999999734</c:v>
                </c:pt>
                <c:pt idx="238">
                  <c:v>20.949999999999733</c:v>
                </c:pt>
                <c:pt idx="239">
                  <c:v>20.974999999999731</c:v>
                </c:pt>
                <c:pt idx="240">
                  <c:v>20.99999999999973</c:v>
                </c:pt>
                <c:pt idx="241">
                  <c:v>21.024999999999729</c:v>
                </c:pt>
                <c:pt idx="242">
                  <c:v>21.049999999999727</c:v>
                </c:pt>
                <c:pt idx="243">
                  <c:v>21.074999999999726</c:v>
                </c:pt>
                <c:pt idx="244">
                  <c:v>21.099999999999724</c:v>
                </c:pt>
                <c:pt idx="245">
                  <c:v>21.124999999999723</c:v>
                </c:pt>
                <c:pt idx="246">
                  <c:v>21.149999999999721</c:v>
                </c:pt>
                <c:pt idx="247">
                  <c:v>21.17499999999972</c:v>
                </c:pt>
                <c:pt idx="248">
                  <c:v>21.199999999999719</c:v>
                </c:pt>
                <c:pt idx="249">
                  <c:v>21.224999999999717</c:v>
                </c:pt>
                <c:pt idx="250">
                  <c:v>21.249999999999716</c:v>
                </c:pt>
                <c:pt idx="251">
                  <c:v>21.274999999999714</c:v>
                </c:pt>
                <c:pt idx="252">
                  <c:v>21.299999999999713</c:v>
                </c:pt>
                <c:pt idx="253">
                  <c:v>21.324999999999712</c:v>
                </c:pt>
                <c:pt idx="254">
                  <c:v>21.34999999999971</c:v>
                </c:pt>
                <c:pt idx="255">
                  <c:v>21.374999999999709</c:v>
                </c:pt>
                <c:pt idx="256">
                  <c:v>21.399999999999707</c:v>
                </c:pt>
                <c:pt idx="257">
                  <c:v>21.424999999999706</c:v>
                </c:pt>
                <c:pt idx="258">
                  <c:v>21.449999999999704</c:v>
                </c:pt>
                <c:pt idx="259">
                  <c:v>21.474999999999703</c:v>
                </c:pt>
                <c:pt idx="260">
                  <c:v>21.499999999999702</c:v>
                </c:pt>
                <c:pt idx="261">
                  <c:v>21.5249999999997</c:v>
                </c:pt>
                <c:pt idx="262">
                  <c:v>21.549999999999699</c:v>
                </c:pt>
                <c:pt idx="263">
                  <c:v>21.574999999999697</c:v>
                </c:pt>
                <c:pt idx="264">
                  <c:v>21.599999999999696</c:v>
                </c:pt>
                <c:pt idx="265">
                  <c:v>21.624999999999694</c:v>
                </c:pt>
                <c:pt idx="266">
                  <c:v>21.649999999999693</c:v>
                </c:pt>
                <c:pt idx="267">
                  <c:v>21.674999999999692</c:v>
                </c:pt>
                <c:pt idx="268">
                  <c:v>21.69999999999969</c:v>
                </c:pt>
                <c:pt idx="269">
                  <c:v>21.724999999999689</c:v>
                </c:pt>
                <c:pt idx="270">
                  <c:v>21.749999999999687</c:v>
                </c:pt>
                <c:pt idx="271">
                  <c:v>21.774999999999686</c:v>
                </c:pt>
                <c:pt idx="272">
                  <c:v>21.799999999999685</c:v>
                </c:pt>
                <c:pt idx="273">
                  <c:v>21.824999999999683</c:v>
                </c:pt>
                <c:pt idx="274">
                  <c:v>21.849999999999682</c:v>
                </c:pt>
                <c:pt idx="275">
                  <c:v>21.87499999999968</c:v>
                </c:pt>
                <c:pt idx="276">
                  <c:v>21.899999999999679</c:v>
                </c:pt>
                <c:pt idx="277">
                  <c:v>21.924999999999677</c:v>
                </c:pt>
                <c:pt idx="278">
                  <c:v>21.949999999999676</c:v>
                </c:pt>
                <c:pt idx="279">
                  <c:v>21.974999999999675</c:v>
                </c:pt>
                <c:pt idx="280">
                  <c:v>21.999999999999673</c:v>
                </c:pt>
                <c:pt idx="281">
                  <c:v>22.024999999999672</c:v>
                </c:pt>
                <c:pt idx="282">
                  <c:v>22.04999999999967</c:v>
                </c:pt>
                <c:pt idx="283">
                  <c:v>22.074999999999669</c:v>
                </c:pt>
                <c:pt idx="284">
                  <c:v>22.099999999999667</c:v>
                </c:pt>
                <c:pt idx="285">
                  <c:v>22.124999999999666</c:v>
                </c:pt>
                <c:pt idx="286">
                  <c:v>22.149999999999665</c:v>
                </c:pt>
                <c:pt idx="287">
                  <c:v>22.174999999999663</c:v>
                </c:pt>
                <c:pt idx="288">
                  <c:v>22.199999999999662</c:v>
                </c:pt>
                <c:pt idx="289">
                  <c:v>22.22499999999966</c:v>
                </c:pt>
                <c:pt idx="290">
                  <c:v>22.249999999999659</c:v>
                </c:pt>
                <c:pt idx="291">
                  <c:v>22.274999999999658</c:v>
                </c:pt>
                <c:pt idx="292">
                  <c:v>22.299999999999656</c:v>
                </c:pt>
                <c:pt idx="293">
                  <c:v>22.324999999999655</c:v>
                </c:pt>
                <c:pt idx="294">
                  <c:v>22.349999999999653</c:v>
                </c:pt>
                <c:pt idx="295">
                  <c:v>22.374999999999652</c:v>
                </c:pt>
                <c:pt idx="296">
                  <c:v>22.39999999999965</c:v>
                </c:pt>
                <c:pt idx="297">
                  <c:v>22.424999999999649</c:v>
                </c:pt>
                <c:pt idx="298">
                  <c:v>22.449999999999648</c:v>
                </c:pt>
                <c:pt idx="299">
                  <c:v>22.474999999999646</c:v>
                </c:pt>
                <c:pt idx="300">
                  <c:v>22.499999999999645</c:v>
                </c:pt>
                <c:pt idx="301">
                  <c:v>22.524999999999643</c:v>
                </c:pt>
                <c:pt idx="302">
                  <c:v>22.549999999999642</c:v>
                </c:pt>
                <c:pt idx="303">
                  <c:v>22.57499999999964</c:v>
                </c:pt>
                <c:pt idx="304">
                  <c:v>22.599999999999639</c:v>
                </c:pt>
                <c:pt idx="305">
                  <c:v>22.624999999999638</c:v>
                </c:pt>
                <c:pt idx="306">
                  <c:v>22.649999999999636</c:v>
                </c:pt>
                <c:pt idx="307">
                  <c:v>22.674999999999635</c:v>
                </c:pt>
                <c:pt idx="308">
                  <c:v>22.699999999999633</c:v>
                </c:pt>
                <c:pt idx="309">
                  <c:v>22.724999999999632</c:v>
                </c:pt>
                <c:pt idx="310">
                  <c:v>22.749999999999631</c:v>
                </c:pt>
                <c:pt idx="311">
                  <c:v>22.774999999999629</c:v>
                </c:pt>
                <c:pt idx="312">
                  <c:v>22.799999999999628</c:v>
                </c:pt>
                <c:pt idx="313">
                  <c:v>22.824999999999626</c:v>
                </c:pt>
                <c:pt idx="314">
                  <c:v>22.849999999999625</c:v>
                </c:pt>
                <c:pt idx="315">
                  <c:v>22.874999999999623</c:v>
                </c:pt>
                <c:pt idx="316">
                  <c:v>22.899999999999622</c:v>
                </c:pt>
                <c:pt idx="317">
                  <c:v>22.924999999999621</c:v>
                </c:pt>
                <c:pt idx="318">
                  <c:v>22.949999999999619</c:v>
                </c:pt>
                <c:pt idx="319">
                  <c:v>22.974999999999618</c:v>
                </c:pt>
                <c:pt idx="320">
                  <c:v>22.999999999999616</c:v>
                </c:pt>
                <c:pt idx="321">
                  <c:v>23.024999999999615</c:v>
                </c:pt>
                <c:pt idx="322">
                  <c:v>23.049999999999613</c:v>
                </c:pt>
                <c:pt idx="323">
                  <c:v>23.074999999999612</c:v>
                </c:pt>
                <c:pt idx="324">
                  <c:v>23.099999999999611</c:v>
                </c:pt>
                <c:pt idx="325">
                  <c:v>23.124999999999609</c:v>
                </c:pt>
                <c:pt idx="326">
                  <c:v>23.149999999999608</c:v>
                </c:pt>
                <c:pt idx="327">
                  <c:v>23.174999999999606</c:v>
                </c:pt>
                <c:pt idx="328">
                  <c:v>23.199999999999605</c:v>
                </c:pt>
                <c:pt idx="329">
                  <c:v>23.224999999999604</c:v>
                </c:pt>
                <c:pt idx="330">
                  <c:v>23.249999999999602</c:v>
                </c:pt>
                <c:pt idx="331">
                  <c:v>23.274999999999601</c:v>
                </c:pt>
                <c:pt idx="332">
                  <c:v>23.299999999999599</c:v>
                </c:pt>
                <c:pt idx="333">
                  <c:v>23.324999999999598</c:v>
                </c:pt>
                <c:pt idx="334">
                  <c:v>23.349999999999596</c:v>
                </c:pt>
                <c:pt idx="335">
                  <c:v>23.374999999999595</c:v>
                </c:pt>
                <c:pt idx="336">
                  <c:v>23.399999999999594</c:v>
                </c:pt>
                <c:pt idx="337">
                  <c:v>23.424999999999592</c:v>
                </c:pt>
                <c:pt idx="338">
                  <c:v>23.449999999999591</c:v>
                </c:pt>
                <c:pt idx="339">
                  <c:v>23.474999999999589</c:v>
                </c:pt>
                <c:pt idx="340">
                  <c:v>23.499999999999588</c:v>
                </c:pt>
                <c:pt idx="341">
                  <c:v>23.524999999999586</c:v>
                </c:pt>
                <c:pt idx="342">
                  <c:v>23.549999999999585</c:v>
                </c:pt>
                <c:pt idx="343">
                  <c:v>23.574999999999584</c:v>
                </c:pt>
                <c:pt idx="344">
                  <c:v>23.599999999999582</c:v>
                </c:pt>
                <c:pt idx="345">
                  <c:v>23.624999999999581</c:v>
                </c:pt>
                <c:pt idx="346">
                  <c:v>23.649999999999579</c:v>
                </c:pt>
                <c:pt idx="347">
                  <c:v>23.674999999999578</c:v>
                </c:pt>
                <c:pt idx="348">
                  <c:v>23.699999999999577</c:v>
                </c:pt>
                <c:pt idx="349">
                  <c:v>23.724999999999575</c:v>
                </c:pt>
                <c:pt idx="350">
                  <c:v>23.749999999999574</c:v>
                </c:pt>
                <c:pt idx="351">
                  <c:v>23.774999999999572</c:v>
                </c:pt>
                <c:pt idx="352">
                  <c:v>23.799999999999571</c:v>
                </c:pt>
                <c:pt idx="353">
                  <c:v>23.824999999999569</c:v>
                </c:pt>
                <c:pt idx="354">
                  <c:v>23.849999999999568</c:v>
                </c:pt>
                <c:pt idx="355">
                  <c:v>23.874999999999567</c:v>
                </c:pt>
                <c:pt idx="356">
                  <c:v>23.899999999999565</c:v>
                </c:pt>
                <c:pt idx="357">
                  <c:v>23.924999999999564</c:v>
                </c:pt>
                <c:pt idx="358">
                  <c:v>23.949999999999562</c:v>
                </c:pt>
                <c:pt idx="359">
                  <c:v>23.974999999999561</c:v>
                </c:pt>
                <c:pt idx="360">
                  <c:v>23.999999999999559</c:v>
                </c:pt>
                <c:pt idx="361">
                  <c:v>24.024999999999558</c:v>
                </c:pt>
                <c:pt idx="362">
                  <c:v>24.049999999999557</c:v>
                </c:pt>
                <c:pt idx="363">
                  <c:v>24.074999999999555</c:v>
                </c:pt>
                <c:pt idx="364">
                  <c:v>24.099999999999554</c:v>
                </c:pt>
                <c:pt idx="365">
                  <c:v>24.124999999999552</c:v>
                </c:pt>
                <c:pt idx="366">
                  <c:v>24.149999999999551</c:v>
                </c:pt>
                <c:pt idx="367">
                  <c:v>24.17499999999955</c:v>
                </c:pt>
                <c:pt idx="368">
                  <c:v>24.199999999999548</c:v>
                </c:pt>
                <c:pt idx="369">
                  <c:v>24.224999999999547</c:v>
                </c:pt>
                <c:pt idx="370">
                  <c:v>24.249999999999545</c:v>
                </c:pt>
                <c:pt idx="371">
                  <c:v>24.274999999999544</c:v>
                </c:pt>
                <c:pt idx="372">
                  <c:v>24.299999999999542</c:v>
                </c:pt>
                <c:pt idx="373">
                  <c:v>24.324999999999541</c:v>
                </c:pt>
                <c:pt idx="374">
                  <c:v>24.34999999999954</c:v>
                </c:pt>
                <c:pt idx="375">
                  <c:v>24.374999999999538</c:v>
                </c:pt>
                <c:pt idx="376">
                  <c:v>24.399999999999537</c:v>
                </c:pt>
                <c:pt idx="377">
                  <c:v>24.424999999999535</c:v>
                </c:pt>
                <c:pt idx="378">
                  <c:v>24.449999999999534</c:v>
                </c:pt>
                <c:pt idx="379">
                  <c:v>24.474999999999532</c:v>
                </c:pt>
                <c:pt idx="380">
                  <c:v>24.499999999999531</c:v>
                </c:pt>
                <c:pt idx="381">
                  <c:v>24.52499999999953</c:v>
                </c:pt>
                <c:pt idx="382">
                  <c:v>24.549999999999528</c:v>
                </c:pt>
                <c:pt idx="383">
                  <c:v>24.574999999999527</c:v>
                </c:pt>
                <c:pt idx="384">
                  <c:v>24.599999999999525</c:v>
                </c:pt>
                <c:pt idx="385">
                  <c:v>24.624999999999524</c:v>
                </c:pt>
                <c:pt idx="386">
                  <c:v>24.649999999999523</c:v>
                </c:pt>
                <c:pt idx="387">
                  <c:v>24.674999999999521</c:v>
                </c:pt>
                <c:pt idx="388">
                  <c:v>24.69999999999952</c:v>
                </c:pt>
                <c:pt idx="389">
                  <c:v>24.724999999999518</c:v>
                </c:pt>
                <c:pt idx="390">
                  <c:v>24.749999999999517</c:v>
                </c:pt>
                <c:pt idx="391">
                  <c:v>24.774999999999515</c:v>
                </c:pt>
                <c:pt idx="392">
                  <c:v>24.799999999999514</c:v>
                </c:pt>
                <c:pt idx="393">
                  <c:v>24.824999999999513</c:v>
                </c:pt>
                <c:pt idx="394">
                  <c:v>24.849999999999511</c:v>
                </c:pt>
                <c:pt idx="395">
                  <c:v>24.87499999999951</c:v>
                </c:pt>
                <c:pt idx="396">
                  <c:v>24.899999999999508</c:v>
                </c:pt>
                <c:pt idx="397">
                  <c:v>24.924999999999507</c:v>
                </c:pt>
                <c:pt idx="398">
                  <c:v>24.949999999999505</c:v>
                </c:pt>
                <c:pt idx="399">
                  <c:v>24.974999999999504</c:v>
                </c:pt>
                <c:pt idx="400">
                  <c:v>24.999999999999503</c:v>
                </c:pt>
                <c:pt idx="401">
                  <c:v>25.024999999999501</c:v>
                </c:pt>
                <c:pt idx="402">
                  <c:v>25.0499999999995</c:v>
                </c:pt>
                <c:pt idx="403">
                  <c:v>25.074999999999498</c:v>
                </c:pt>
                <c:pt idx="404">
                  <c:v>25.099999999999497</c:v>
                </c:pt>
                <c:pt idx="405">
                  <c:v>25.124999999999496</c:v>
                </c:pt>
                <c:pt idx="406">
                  <c:v>25.149999999999494</c:v>
                </c:pt>
                <c:pt idx="407">
                  <c:v>25.174999999999493</c:v>
                </c:pt>
                <c:pt idx="408">
                  <c:v>25.199999999999491</c:v>
                </c:pt>
                <c:pt idx="409">
                  <c:v>25.22499999999949</c:v>
                </c:pt>
                <c:pt idx="410">
                  <c:v>25.249999999999488</c:v>
                </c:pt>
                <c:pt idx="411">
                  <c:v>25.274999999999487</c:v>
                </c:pt>
                <c:pt idx="412">
                  <c:v>25.299999999999486</c:v>
                </c:pt>
                <c:pt idx="413">
                  <c:v>25.324999999999484</c:v>
                </c:pt>
                <c:pt idx="414">
                  <c:v>25.349999999999483</c:v>
                </c:pt>
                <c:pt idx="415">
                  <c:v>25.374999999999481</c:v>
                </c:pt>
                <c:pt idx="416">
                  <c:v>25.39999999999948</c:v>
                </c:pt>
                <c:pt idx="417">
                  <c:v>25.424999999999478</c:v>
                </c:pt>
                <c:pt idx="418">
                  <c:v>25.449999999999477</c:v>
                </c:pt>
                <c:pt idx="419">
                  <c:v>25.474999999999476</c:v>
                </c:pt>
                <c:pt idx="420">
                  <c:v>25.499999999999474</c:v>
                </c:pt>
                <c:pt idx="421">
                  <c:v>25.524999999999473</c:v>
                </c:pt>
                <c:pt idx="422">
                  <c:v>25.549999999999471</c:v>
                </c:pt>
                <c:pt idx="423">
                  <c:v>25.57499999999947</c:v>
                </c:pt>
                <c:pt idx="424">
                  <c:v>25.599999999999469</c:v>
                </c:pt>
                <c:pt idx="425">
                  <c:v>25.624999999999467</c:v>
                </c:pt>
                <c:pt idx="426">
                  <c:v>25.649999999999466</c:v>
                </c:pt>
                <c:pt idx="427">
                  <c:v>25.674999999999464</c:v>
                </c:pt>
                <c:pt idx="428">
                  <c:v>25.699999999999463</c:v>
                </c:pt>
                <c:pt idx="429">
                  <c:v>25.724999999999461</c:v>
                </c:pt>
                <c:pt idx="430">
                  <c:v>25.74999999999946</c:v>
                </c:pt>
                <c:pt idx="431">
                  <c:v>25.774999999999459</c:v>
                </c:pt>
                <c:pt idx="432">
                  <c:v>25.799999999999457</c:v>
                </c:pt>
                <c:pt idx="433">
                  <c:v>25.824999999999456</c:v>
                </c:pt>
                <c:pt idx="434">
                  <c:v>25.849999999999454</c:v>
                </c:pt>
                <c:pt idx="435">
                  <c:v>25.874999999999453</c:v>
                </c:pt>
                <c:pt idx="436">
                  <c:v>25.899999999999451</c:v>
                </c:pt>
                <c:pt idx="437">
                  <c:v>25.92499999999945</c:v>
                </c:pt>
                <c:pt idx="438">
                  <c:v>25.949999999999449</c:v>
                </c:pt>
                <c:pt idx="439">
                  <c:v>25.974999999999447</c:v>
                </c:pt>
                <c:pt idx="440">
                  <c:v>25.999999999999446</c:v>
                </c:pt>
                <c:pt idx="441">
                  <c:v>26.024999999999444</c:v>
                </c:pt>
                <c:pt idx="442">
                  <c:v>26.049999999999443</c:v>
                </c:pt>
                <c:pt idx="443">
                  <c:v>26.074999999999442</c:v>
                </c:pt>
                <c:pt idx="444">
                  <c:v>26.09999999999944</c:v>
                </c:pt>
                <c:pt idx="445">
                  <c:v>26.124999999999439</c:v>
                </c:pt>
                <c:pt idx="446">
                  <c:v>26.149999999999437</c:v>
                </c:pt>
                <c:pt idx="447">
                  <c:v>26.174999999999436</c:v>
                </c:pt>
                <c:pt idx="448">
                  <c:v>26.199999999999434</c:v>
                </c:pt>
                <c:pt idx="449">
                  <c:v>26.224999999999433</c:v>
                </c:pt>
                <c:pt idx="450">
                  <c:v>26.249999999999432</c:v>
                </c:pt>
                <c:pt idx="451">
                  <c:v>26.27499999999943</c:v>
                </c:pt>
                <c:pt idx="452">
                  <c:v>26.299999999999429</c:v>
                </c:pt>
                <c:pt idx="453">
                  <c:v>26.324999999999427</c:v>
                </c:pt>
                <c:pt idx="454">
                  <c:v>26.349999999999426</c:v>
                </c:pt>
                <c:pt idx="455">
                  <c:v>26.374999999999424</c:v>
                </c:pt>
                <c:pt idx="456">
                  <c:v>26.399999999999423</c:v>
                </c:pt>
                <c:pt idx="457">
                  <c:v>26.424999999999422</c:v>
                </c:pt>
                <c:pt idx="458">
                  <c:v>26.44999999999942</c:v>
                </c:pt>
                <c:pt idx="459">
                  <c:v>26.474999999999419</c:v>
                </c:pt>
                <c:pt idx="460">
                  <c:v>26.499999999999417</c:v>
                </c:pt>
                <c:pt idx="461">
                  <c:v>26.524999999999416</c:v>
                </c:pt>
                <c:pt idx="462">
                  <c:v>26.549999999999415</c:v>
                </c:pt>
                <c:pt idx="463">
                  <c:v>26.574999999999413</c:v>
                </c:pt>
                <c:pt idx="464">
                  <c:v>26.599999999999412</c:v>
                </c:pt>
                <c:pt idx="465">
                  <c:v>26.62499999999941</c:v>
                </c:pt>
                <c:pt idx="466">
                  <c:v>26.649999999999409</c:v>
                </c:pt>
                <c:pt idx="467">
                  <c:v>26.674999999999407</c:v>
                </c:pt>
                <c:pt idx="468">
                  <c:v>26.699999999999406</c:v>
                </c:pt>
                <c:pt idx="469">
                  <c:v>26.724999999999405</c:v>
                </c:pt>
                <c:pt idx="470">
                  <c:v>26.749999999999403</c:v>
                </c:pt>
                <c:pt idx="471">
                  <c:v>26.774999999999402</c:v>
                </c:pt>
                <c:pt idx="472">
                  <c:v>26.7999999999994</c:v>
                </c:pt>
                <c:pt idx="473">
                  <c:v>26.824999999999399</c:v>
                </c:pt>
                <c:pt idx="474">
                  <c:v>26.849999999999397</c:v>
                </c:pt>
                <c:pt idx="475">
                  <c:v>26.874999999999396</c:v>
                </c:pt>
                <c:pt idx="476">
                  <c:v>26.899999999999395</c:v>
                </c:pt>
                <c:pt idx="477">
                  <c:v>26.924999999999393</c:v>
                </c:pt>
                <c:pt idx="478">
                  <c:v>26.949999999999392</c:v>
                </c:pt>
                <c:pt idx="479">
                  <c:v>26.97499999999939</c:v>
                </c:pt>
                <c:pt idx="480">
                  <c:v>26.999999999999389</c:v>
                </c:pt>
                <c:pt idx="481">
                  <c:v>27.024999999999388</c:v>
                </c:pt>
                <c:pt idx="482">
                  <c:v>27.049999999999386</c:v>
                </c:pt>
                <c:pt idx="483">
                  <c:v>27.074999999999385</c:v>
                </c:pt>
                <c:pt idx="484">
                  <c:v>27.099999999999383</c:v>
                </c:pt>
                <c:pt idx="485">
                  <c:v>27.124999999999382</c:v>
                </c:pt>
                <c:pt idx="486">
                  <c:v>27.14999999999938</c:v>
                </c:pt>
                <c:pt idx="487">
                  <c:v>27.174999999999379</c:v>
                </c:pt>
                <c:pt idx="488">
                  <c:v>27.199999999999378</c:v>
                </c:pt>
                <c:pt idx="489">
                  <c:v>27.224999999999376</c:v>
                </c:pt>
                <c:pt idx="490">
                  <c:v>27.249999999999375</c:v>
                </c:pt>
                <c:pt idx="491">
                  <c:v>27.274999999999373</c:v>
                </c:pt>
                <c:pt idx="492">
                  <c:v>27.299999999999372</c:v>
                </c:pt>
                <c:pt idx="493">
                  <c:v>27.32499999999937</c:v>
                </c:pt>
                <c:pt idx="494">
                  <c:v>27.349999999999369</c:v>
                </c:pt>
                <c:pt idx="495">
                  <c:v>27.374999999999368</c:v>
                </c:pt>
                <c:pt idx="496">
                  <c:v>27.399999999999366</c:v>
                </c:pt>
                <c:pt idx="497">
                  <c:v>27.424999999999365</c:v>
                </c:pt>
                <c:pt idx="498">
                  <c:v>27.449999999999363</c:v>
                </c:pt>
                <c:pt idx="499">
                  <c:v>27.474999999999362</c:v>
                </c:pt>
                <c:pt idx="500">
                  <c:v>27.499999999999361</c:v>
                </c:pt>
                <c:pt idx="501">
                  <c:v>27.524999999999359</c:v>
                </c:pt>
                <c:pt idx="502">
                  <c:v>27.549999999999358</c:v>
                </c:pt>
                <c:pt idx="503">
                  <c:v>27.574999999999356</c:v>
                </c:pt>
                <c:pt idx="504">
                  <c:v>27.599999999999355</c:v>
                </c:pt>
                <c:pt idx="505">
                  <c:v>27.624999999999353</c:v>
                </c:pt>
                <c:pt idx="506">
                  <c:v>27.649999999999352</c:v>
                </c:pt>
                <c:pt idx="507">
                  <c:v>27.674999999999351</c:v>
                </c:pt>
                <c:pt idx="508">
                  <c:v>27.699999999999349</c:v>
                </c:pt>
                <c:pt idx="509">
                  <c:v>27.724999999999348</c:v>
                </c:pt>
                <c:pt idx="510">
                  <c:v>27.749999999999346</c:v>
                </c:pt>
                <c:pt idx="511">
                  <c:v>27.774999999999345</c:v>
                </c:pt>
                <c:pt idx="512">
                  <c:v>27.799999999999343</c:v>
                </c:pt>
                <c:pt idx="513">
                  <c:v>27.824999999999342</c:v>
                </c:pt>
                <c:pt idx="514">
                  <c:v>27.849999999999341</c:v>
                </c:pt>
                <c:pt idx="515">
                  <c:v>27.874999999999339</c:v>
                </c:pt>
                <c:pt idx="516">
                  <c:v>27.899999999999338</c:v>
                </c:pt>
                <c:pt idx="517">
                  <c:v>27.924999999999336</c:v>
                </c:pt>
                <c:pt idx="518">
                  <c:v>27.949999999999335</c:v>
                </c:pt>
                <c:pt idx="519">
                  <c:v>27.974999999999334</c:v>
                </c:pt>
                <c:pt idx="520">
                  <c:v>27.999999999999332</c:v>
                </c:pt>
                <c:pt idx="521">
                  <c:v>28.024999999999331</c:v>
                </c:pt>
                <c:pt idx="522">
                  <c:v>28.049999999999329</c:v>
                </c:pt>
                <c:pt idx="523">
                  <c:v>28.074999999999328</c:v>
                </c:pt>
                <c:pt idx="524">
                  <c:v>28.099999999999326</c:v>
                </c:pt>
                <c:pt idx="525">
                  <c:v>28.124999999999325</c:v>
                </c:pt>
                <c:pt idx="526">
                  <c:v>28.149999999999324</c:v>
                </c:pt>
                <c:pt idx="527">
                  <c:v>28.174999999999322</c:v>
                </c:pt>
                <c:pt idx="528">
                  <c:v>28.199999999999321</c:v>
                </c:pt>
                <c:pt idx="529">
                  <c:v>28.224999999999319</c:v>
                </c:pt>
                <c:pt idx="530">
                  <c:v>28.249999999999318</c:v>
                </c:pt>
                <c:pt idx="531">
                  <c:v>28.274999999999316</c:v>
                </c:pt>
                <c:pt idx="532">
                  <c:v>28.299999999999315</c:v>
                </c:pt>
                <c:pt idx="533">
                  <c:v>28.324999999999314</c:v>
                </c:pt>
                <c:pt idx="534">
                  <c:v>28.349999999999312</c:v>
                </c:pt>
                <c:pt idx="535">
                  <c:v>28.374999999999311</c:v>
                </c:pt>
                <c:pt idx="536">
                  <c:v>28.399999999999309</c:v>
                </c:pt>
                <c:pt idx="537">
                  <c:v>28.424999999999308</c:v>
                </c:pt>
                <c:pt idx="538">
                  <c:v>28.449999999999307</c:v>
                </c:pt>
                <c:pt idx="539">
                  <c:v>28.474999999999305</c:v>
                </c:pt>
                <c:pt idx="540">
                  <c:v>28.499999999999304</c:v>
                </c:pt>
                <c:pt idx="541">
                  <c:v>28.524999999999302</c:v>
                </c:pt>
                <c:pt idx="542">
                  <c:v>28.549999999999301</c:v>
                </c:pt>
                <c:pt idx="543">
                  <c:v>28.574999999999299</c:v>
                </c:pt>
                <c:pt idx="544">
                  <c:v>28.599999999999298</c:v>
                </c:pt>
                <c:pt idx="545">
                  <c:v>28.624999999999297</c:v>
                </c:pt>
                <c:pt idx="546">
                  <c:v>28.649999999999295</c:v>
                </c:pt>
                <c:pt idx="547">
                  <c:v>28.674999999999294</c:v>
                </c:pt>
                <c:pt idx="548">
                  <c:v>28.699999999999292</c:v>
                </c:pt>
                <c:pt idx="549">
                  <c:v>28.724999999999291</c:v>
                </c:pt>
                <c:pt idx="550">
                  <c:v>28.749999999999289</c:v>
                </c:pt>
                <c:pt idx="551">
                  <c:v>28.774999999999288</c:v>
                </c:pt>
                <c:pt idx="552">
                  <c:v>28.799999999999287</c:v>
                </c:pt>
                <c:pt idx="553">
                  <c:v>28.824999999999285</c:v>
                </c:pt>
                <c:pt idx="554">
                  <c:v>28.849999999999284</c:v>
                </c:pt>
                <c:pt idx="555">
                  <c:v>28.874999999999282</c:v>
                </c:pt>
                <c:pt idx="556">
                  <c:v>28.899999999999281</c:v>
                </c:pt>
                <c:pt idx="557">
                  <c:v>28.92499999999928</c:v>
                </c:pt>
                <c:pt idx="558">
                  <c:v>28.949999999999278</c:v>
                </c:pt>
                <c:pt idx="559">
                  <c:v>28.974999999999277</c:v>
                </c:pt>
                <c:pt idx="560">
                  <c:v>28.999999999999275</c:v>
                </c:pt>
                <c:pt idx="561">
                  <c:v>29.024999999999274</c:v>
                </c:pt>
                <c:pt idx="562">
                  <c:v>29.049999999999272</c:v>
                </c:pt>
                <c:pt idx="563">
                  <c:v>29.074999999999271</c:v>
                </c:pt>
                <c:pt idx="564">
                  <c:v>29.09999999999927</c:v>
                </c:pt>
                <c:pt idx="565">
                  <c:v>29.124999999999268</c:v>
                </c:pt>
                <c:pt idx="566">
                  <c:v>29.149999999999267</c:v>
                </c:pt>
                <c:pt idx="567">
                  <c:v>29.174999999999265</c:v>
                </c:pt>
                <c:pt idx="568">
                  <c:v>29.199999999999264</c:v>
                </c:pt>
                <c:pt idx="569">
                  <c:v>29.224999999999262</c:v>
                </c:pt>
                <c:pt idx="570">
                  <c:v>29.249999999999261</c:v>
                </c:pt>
                <c:pt idx="571">
                  <c:v>29.27499999999926</c:v>
                </c:pt>
                <c:pt idx="572">
                  <c:v>29.299999999999258</c:v>
                </c:pt>
                <c:pt idx="573">
                  <c:v>29.324999999999257</c:v>
                </c:pt>
                <c:pt idx="574">
                  <c:v>29.349999999999255</c:v>
                </c:pt>
                <c:pt idx="575">
                  <c:v>29.374999999999254</c:v>
                </c:pt>
                <c:pt idx="576">
                  <c:v>29.399999999999253</c:v>
                </c:pt>
                <c:pt idx="577">
                  <c:v>29.424999999999251</c:v>
                </c:pt>
                <c:pt idx="578">
                  <c:v>29.44999999999925</c:v>
                </c:pt>
                <c:pt idx="579">
                  <c:v>29.474999999999248</c:v>
                </c:pt>
                <c:pt idx="580">
                  <c:v>29.499999999999247</c:v>
                </c:pt>
                <c:pt idx="581">
                  <c:v>29.524999999999245</c:v>
                </c:pt>
                <c:pt idx="582">
                  <c:v>29.549999999999244</c:v>
                </c:pt>
                <c:pt idx="583">
                  <c:v>29.574999999999243</c:v>
                </c:pt>
                <c:pt idx="584">
                  <c:v>29.599999999999241</c:v>
                </c:pt>
                <c:pt idx="585">
                  <c:v>29.62499999999924</c:v>
                </c:pt>
                <c:pt idx="586">
                  <c:v>29.649999999999238</c:v>
                </c:pt>
                <c:pt idx="587">
                  <c:v>29.674999999999237</c:v>
                </c:pt>
                <c:pt idx="588">
                  <c:v>29.699999999999235</c:v>
                </c:pt>
                <c:pt idx="589">
                  <c:v>29.724999999999234</c:v>
                </c:pt>
                <c:pt idx="590">
                  <c:v>29.749999999999233</c:v>
                </c:pt>
                <c:pt idx="591">
                  <c:v>29.774999999999231</c:v>
                </c:pt>
                <c:pt idx="592">
                  <c:v>29.79999999999923</c:v>
                </c:pt>
                <c:pt idx="593">
                  <c:v>29.824999999999228</c:v>
                </c:pt>
                <c:pt idx="594">
                  <c:v>29.849999999999227</c:v>
                </c:pt>
                <c:pt idx="595">
                  <c:v>29.874999999999226</c:v>
                </c:pt>
                <c:pt idx="596">
                  <c:v>29.899999999999224</c:v>
                </c:pt>
                <c:pt idx="597">
                  <c:v>29.924999999999223</c:v>
                </c:pt>
                <c:pt idx="598">
                  <c:v>29.949999999999221</c:v>
                </c:pt>
                <c:pt idx="599">
                  <c:v>29.97499999999922</c:v>
                </c:pt>
                <c:pt idx="600">
                  <c:v>29.999999999999218</c:v>
                </c:pt>
              </c:numCache>
            </c:numRef>
          </c:xVal>
          <c:yVal>
            <c:numRef>
              <c:f>Sheet1!$B$2:$B$604</c:f>
              <c:numCache>
                <c:formatCode>General</c:formatCode>
                <c:ptCount val="603"/>
                <c:pt idx="0">
                  <c:v>1.0827331957915375E-4</c:v>
                </c:pt>
                <c:pt idx="1">
                  <c:v>1.1335066001600802E-4</c:v>
                </c:pt>
                <c:pt idx="2">
                  <c:v>1.1864935913609515E-4</c:v>
                </c:pt>
                <c:pt idx="3">
                  <c:v>1.2417823498842042E-4</c:v>
                </c:pt>
                <c:pt idx="4">
                  <c:v>1.2994641751815666E-4</c:v>
                </c:pt>
                <c:pt idx="5">
                  <c:v>1.3596335783013205E-4</c:v>
                </c:pt>
                <c:pt idx="6">
                  <c:v>1.4223883765157372E-4</c:v>
                </c:pt>
                <c:pt idx="7">
                  <c:v>1.4878297899517125E-4</c:v>
                </c:pt>
                <c:pt idx="8">
                  <c:v>1.5560625402336926E-4</c:v>
                </c:pt>
                <c:pt idx="9">
                  <c:v>1.6271949511464069E-4</c:v>
                </c:pt>
                <c:pt idx="10">
                  <c:v>1.701339051323178E-4</c:v>
                </c:pt>
                <c:pt idx="11">
                  <c:v>1.7786106789638469E-4</c:v>
                </c:pt>
                <c:pt idx="12">
                  <c:v>1.8591295885844565E-4</c:v>
                </c:pt>
                <c:pt idx="13">
                  <c:v>1.9430195597988872E-4</c:v>
                </c:pt>
                <c:pt idx="14">
                  <c:v>2.0304085081306226E-4</c:v>
                </c:pt>
                <c:pt idx="15">
                  <c:v>2.1214285978506518E-4</c:v>
                </c:pt>
                <c:pt idx="16">
                  <c:v>2.2162163568353155E-4</c:v>
                </c:pt>
                <c:pt idx="17">
                  <c:v>2.3149127934355961E-4</c:v>
                </c:pt>
                <c:pt idx="18">
                  <c:v>2.4176635153468705E-4</c:v>
                </c:pt>
                <c:pt idx="19">
                  <c:v>2.5246188504657584E-4</c:v>
                </c:pt>
                <c:pt idx="20">
                  <c:v>2.6359339697179686E-4</c:v>
                </c:pt>
                <c:pt idx="21">
                  <c:v>2.7517690118384258E-4</c:v>
                </c:pt>
                <c:pt idx="22">
                  <c:v>2.8722892100821397E-4</c:v>
                </c:pt>
                <c:pt idx="23">
                  <c:v>2.997665020841339E-4</c:v>
                </c:pt>
                <c:pt idx="24">
                  <c:v>3.1280722541414694E-4</c:v>
                </c:pt>
                <c:pt idx="25">
                  <c:v>3.263692205985497E-4</c:v>
                </c:pt>
                <c:pt idx="26">
                  <c:v>3.4047117925127638E-4</c:v>
                </c:pt>
                <c:pt idx="27">
                  <c:v>3.5513236859354048E-4</c:v>
                </c:pt>
                <c:pt idx="28">
                  <c:v>3.7037264522117835E-4</c:v>
                </c:pt>
                <c:pt idx="29">
                  <c:v>3.8621246904131429E-4</c:v>
                </c:pt>
                <c:pt idx="30">
                  <c:v>4.0267291737357936E-4</c:v>
                </c:pt>
                <c:pt idx="31">
                  <c:v>4.1977569921077001E-4</c:v>
                </c:pt>
                <c:pt idx="32">
                  <c:v>4.3754316963343001E-4</c:v>
                </c:pt>
                <c:pt idx="33">
                  <c:v>4.5599834437247053E-4</c:v>
                </c:pt>
                <c:pt idx="34">
                  <c:v>4.7516491451353058E-4</c:v>
                </c:pt>
                <c:pt idx="35">
                  <c:v>4.9506726133636571E-4</c:v>
                </c:pt>
                <c:pt idx="36">
                  <c:v>5.1573047128215181E-4</c:v>
                </c:pt>
                <c:pt idx="37">
                  <c:v>5.3718035104113784E-4</c:v>
                </c:pt>
                <c:pt idx="38">
                  <c:v>5.5944344275267086E-4</c:v>
                </c:pt>
                <c:pt idx="39">
                  <c:v>5.8254703930913721E-4</c:v>
                </c:pt>
                <c:pt idx="40">
                  <c:v>6.0651919975494102E-4</c:v>
                </c:pt>
                <c:pt idx="41">
                  <c:v>6.3138876477115068E-4</c:v>
                </c:pt>
                <c:pt idx="42">
                  <c:v>6.5718537223597774E-4</c:v>
                </c:pt>
                <c:pt idx="43">
                  <c:v>6.8393947285078169E-4</c:v>
                </c:pt>
                <c:pt idx="44">
                  <c:v>7.1168234582078297E-4</c:v>
                </c:pt>
                <c:pt idx="45">
                  <c:v>7.4044611457919722E-4</c:v>
                </c:pt>
                <c:pt idx="46">
                  <c:v>7.7026376254296744E-4</c:v>
                </c:pt>
                <c:pt idx="47">
                  <c:v>8.0116914888778981E-4</c:v>
                </c:pt>
                <c:pt idx="48">
                  <c:v>8.3319702432958157E-4</c:v>
                </c:pt>
                <c:pt idx="49">
                  <c:v>8.6638304689904203E-4</c:v>
                </c:pt>
                <c:pt idx="50">
                  <c:v>9.0076379769541738E-4</c:v>
                </c:pt>
                <c:pt idx="51">
                  <c:v>9.3637679660501854E-4</c:v>
                </c:pt>
                <c:pt idx="52">
                  <c:v>9.7326051796955959E-4</c:v>
                </c:pt>
                <c:pt idx="53">
                  <c:v>1.0114544061887798E-3</c:v>
                </c:pt>
                <c:pt idx="54">
                  <c:v>1.0509988912413E-3</c:v>
                </c:pt>
                <c:pt idx="55">
                  <c:v>1.0919354041071052E-3</c:v>
                </c:pt>
                <c:pt idx="56">
                  <c:v>1.1343063920744739E-3</c:v>
                </c:pt>
                <c:pt idx="57">
                  <c:v>1.1781553339136558E-3</c:v>
                </c:pt>
                <c:pt idx="58">
                  <c:v>1.2235267548989957E-3</c:v>
                </c:pt>
                <c:pt idx="59">
                  <c:v>1.2704662416606943E-3</c:v>
                </c:pt>
                <c:pt idx="60">
                  <c:v>1.3190204568467709E-3</c:v>
                </c:pt>
                <c:pt idx="61">
                  <c:v>1.3692371535753303E-3</c:v>
                </c:pt>
                <c:pt idx="62">
                  <c:v>1.4211651896565718E-3</c:v>
                </c:pt>
                <c:pt idx="63">
                  <c:v>1.4748545415635256E-3</c:v>
                </c:pt>
                <c:pt idx="64">
                  <c:v>1.5303563181298693E-3</c:v>
                </c:pt>
                <c:pt idx="65">
                  <c:v>1.5877227739526868E-3</c:v>
                </c:pt>
                <c:pt idx="66">
                  <c:v>1.6470073224774614E-3</c:v>
                </c:pt>
                <c:pt idx="67">
                  <c:v>1.7082645487420743E-3</c:v>
                </c:pt>
                <c:pt idx="68">
                  <c:v>1.7715502217560315E-3</c:v>
                </c:pt>
                <c:pt idx="69">
                  <c:v>1.8369213064906315E-3</c:v>
                </c:pt>
                <c:pt idx="70">
                  <c:v>1.9044359754552868E-3</c:v>
                </c:pt>
                <c:pt idx="71">
                  <c:v>1.9741536198346716E-3</c:v>
                </c:pt>
                <c:pt idx="72">
                  <c:v>2.0461348601609093E-3</c:v>
                </c:pt>
                <c:pt idx="73">
                  <c:v>2.1204415564945074E-3</c:v>
                </c:pt>
                <c:pt idx="74">
                  <c:v>2.1971368180872981E-3</c:v>
                </c:pt>
                <c:pt idx="75">
                  <c:v>2.276285012500147E-3</c:v>
                </c:pt>
                <c:pt idx="76">
                  <c:v>2.3579517741478145E-3</c:v>
                </c:pt>
                <c:pt idx="77">
                  <c:v>2.442204012242872E-3</c:v>
                </c:pt>
                <c:pt idx="78">
                  <c:v>2.5291099181101568E-3</c:v>
                </c:pt>
                <c:pt idx="79">
                  <c:v>2.6187389718429406E-3</c:v>
                </c:pt>
                <c:pt idx="80">
                  <c:v>2.7111619482715261E-3</c:v>
                </c:pt>
                <c:pt idx="81">
                  <c:v>2.8064509222146504E-3</c:v>
                </c:pt>
                <c:pt idx="82">
                  <c:v>2.9046792729838086E-3</c:v>
                </c:pt>
                <c:pt idx="83">
                  <c:v>3.0059216881102011E-3</c:v>
                </c:pt>
                <c:pt idx="84">
                  <c:v>3.110254166263805E-3</c:v>
                </c:pt>
                <c:pt idx="85">
                  <c:v>3.2177540193337882E-3</c:v>
                </c:pt>
                <c:pt idx="86">
                  <c:v>3.3284998736392269E-3</c:v>
                </c:pt>
                <c:pt idx="87">
                  <c:v>3.4425716702388828E-3</c:v>
                </c:pt>
                <c:pt idx="88">
                  <c:v>3.5600506643087143E-3</c:v>
                </c:pt>
                <c:pt idx="89">
                  <c:v>3.6810194235554696E-3</c:v>
                </c:pt>
                <c:pt idx="90">
                  <c:v>3.8055618256347752E-3</c:v>
                </c:pt>
                <c:pt idx="91">
                  <c:v>3.9337630545419316E-3</c:v>
                </c:pt>
                <c:pt idx="92">
                  <c:v>4.0657095959436328E-3</c:v>
                </c:pt>
                <c:pt idx="93">
                  <c:v>4.2014892314187861E-3</c:v>
                </c:pt>
                <c:pt idx="94">
                  <c:v>4.3411910315766496E-3</c:v>
                </c:pt>
                <c:pt idx="95">
                  <c:v>4.4849053480205629E-3</c:v>
                </c:pt>
                <c:pt idx="96">
                  <c:v>4.6327238041255787E-3</c:v>
                </c:pt>
                <c:pt idx="97">
                  <c:v>4.7847392845985857E-3</c:v>
                </c:pt>
                <c:pt idx="98">
                  <c:v>4.9410459237895178E-3</c:v>
                </c:pt>
                <c:pt idx="99">
                  <c:v>5.1017390927225728E-3</c:v>
                </c:pt>
                <c:pt idx="100">
                  <c:v>5.2669153848166079E-3</c:v>
                </c:pt>
                <c:pt idx="101">
                  <c:v>5.4366726002641553E-3</c:v>
                </c:pt>
                <c:pt idx="102">
                  <c:v>5.6111097290388687E-3</c:v>
                </c:pt>
                <c:pt idx="103">
                  <c:v>5.7903269325016169E-3</c:v>
                </c:pt>
                <c:pt idx="104">
                  <c:v>5.9744255235758643E-3</c:v>
                </c:pt>
                <c:pt idx="105">
                  <c:v>6.163507945463516E-3</c:v>
                </c:pt>
                <c:pt idx="106">
                  <c:v>6.3576777488728187E-3</c:v>
                </c:pt>
                <c:pt idx="107">
                  <c:v>6.5570395677307007E-3</c:v>
                </c:pt>
                <c:pt idx="108">
                  <c:v>6.7616990933523947E-3</c:v>
                </c:pt>
                <c:pt idx="109">
                  <c:v>6.9717630470419612E-3</c:v>
                </c:pt>
                <c:pt idx="110">
                  <c:v>7.1873391510980551E-3</c:v>
                </c:pt>
                <c:pt idx="111">
                  <c:v>7.4085360982000942E-3</c:v>
                </c:pt>
                <c:pt idx="112">
                  <c:v>7.6354635191508008E-3</c:v>
                </c:pt>
                <c:pt idx="113">
                  <c:v>7.8682319489520296E-3</c:v>
                </c:pt>
                <c:pt idx="114">
                  <c:v>8.1069527911917516E-3</c:v>
                </c:pt>
                <c:pt idx="115">
                  <c:v>8.3517382807209682E-3</c:v>
                </c:pt>
                <c:pt idx="116">
                  <c:v>8.6027014446006592E-3</c:v>
                </c:pt>
                <c:pt idx="117">
                  <c:v>8.8599560612996394E-3</c:v>
                </c:pt>
                <c:pt idx="118">
                  <c:v>9.1236166181257114E-3</c:v>
                </c:pt>
                <c:pt idx="119">
                  <c:v>9.3937982668734921E-3</c:v>
                </c:pt>
                <c:pt idx="120">
                  <c:v>9.6706167776736979E-3</c:v>
                </c:pt>
                <c:pt idx="121">
                  <c:v>9.954188491030044E-3</c:v>
                </c:pt>
                <c:pt idx="122">
                  <c:v>1.0244630268031206E-2</c:v>
                </c:pt>
                <c:pt idx="123">
                  <c:v>1.0542059438726915E-2</c:v>
                </c:pt>
                <c:pt idx="124">
                  <c:v>1.0846593748658503E-2</c:v>
                </c:pt>
                <c:pt idx="125">
                  <c:v>1.1158351303536193E-2</c:v>
                </c:pt>
                <c:pt idx="126">
                  <c:v>1.1477450512056583E-2</c:v>
                </c:pt>
                <c:pt idx="127">
                  <c:v>1.1804010026855888E-2</c:v>
                </c:pt>
                <c:pt idx="128">
                  <c:v>1.2138148683595897E-2</c:v>
                </c:pt>
                <c:pt idx="129">
                  <c:v>1.2479985438181561E-2</c:v>
                </c:pt>
                <c:pt idx="130">
                  <c:v>1.2829639302111012E-2</c:v>
                </c:pt>
                <c:pt idx="131">
                  <c:v>1.3187229275960487E-2</c:v>
                </c:pt>
                <c:pt idx="132">
                  <c:v>1.355287428100891E-2</c:v>
                </c:pt>
                <c:pt idx="133">
                  <c:v>1.3926693089008372E-2</c:v>
                </c:pt>
                <c:pt idx="134">
                  <c:v>1.430880425010941E-2</c:v>
                </c:pt>
                <c:pt idx="135">
                  <c:v>1.4699326018951612E-2</c:v>
                </c:pt>
                <c:pt idx="136">
                  <c:v>1.5098376278932239E-2</c:v>
                </c:pt>
                <c:pt idx="137">
                  <c:v>1.5506072464668074E-2</c:v>
                </c:pt>
                <c:pt idx="138">
                  <c:v>1.5922531482667479E-2</c:v>
                </c:pt>
                <c:pt idx="139">
                  <c:v>1.634786963023218E-2</c:v>
                </c:pt>
                <c:pt idx="140">
                  <c:v>1.6782202512610638E-2</c:v>
                </c:pt>
                <c:pt idx="141">
                  <c:v>1.7225644958426888E-2</c:v>
                </c:pt>
                <c:pt idx="142">
                  <c:v>1.7678310933411427E-2</c:v>
                </c:pt>
                <c:pt idx="143">
                  <c:v>1.8140313452462968E-2</c:v>
                </c:pt>
                <c:pt idx="144">
                  <c:v>1.8611764490072454E-2</c:v>
                </c:pt>
                <c:pt idx="145">
                  <c:v>1.9092774889142808E-2</c:v>
                </c:pt>
                <c:pt idx="146">
                  <c:v>1.9583454268241016E-2</c:v>
                </c:pt>
                <c:pt idx="147">
                  <c:v>2.0083910927321039E-2</c:v>
                </c:pt>
                <c:pt idx="148">
                  <c:v>2.0594251751958892E-2</c:v>
                </c:pt>
                <c:pt idx="149">
                  <c:v>2.111458211614383E-2</c:v>
                </c:pt>
                <c:pt idx="150">
                  <c:v>2.1645005783671928E-2</c:v>
                </c:pt>
                <c:pt idx="151">
                  <c:v>2.2185624808191116E-2</c:v>
                </c:pt>
                <c:pt idx="152">
                  <c:v>2.2736539431949102E-2</c:v>
                </c:pt>
                <c:pt idx="153">
                  <c:v>2.329784798329864E-2</c:v>
                </c:pt>
                <c:pt idx="154">
                  <c:v>2.3869646773016527E-2</c:v>
                </c:pt>
                <c:pt idx="155">
                  <c:v>2.4452029989496075E-2</c:v>
                </c:pt>
                <c:pt idx="156">
                  <c:v>2.5045089592874766E-2</c:v>
                </c:pt>
                <c:pt idx="157">
                  <c:v>2.5648915208161611E-2</c:v>
                </c:pt>
                <c:pt idx="158">
                  <c:v>2.6263594017431686E-2</c:v>
                </c:pt>
                <c:pt idx="159">
                  <c:v>2.6889210651157125E-2</c:v>
                </c:pt>
                <c:pt idx="160">
                  <c:v>2.7525847078747001E-2</c:v>
                </c:pt>
                <c:pt idx="161">
                  <c:v>2.8173582498370934E-2</c:v>
                </c:pt>
                <c:pt idx="162">
                  <c:v>2.8832493226143622E-2</c:v>
                </c:pt>
                <c:pt idx="163">
                  <c:v>2.9502652584749923E-2</c:v>
                </c:pt>
                <c:pt idx="164">
                  <c:v>3.0184130791592927E-2</c:v>
                </c:pt>
                <c:pt idx="165">
                  <c:v>3.087699484654937E-2</c:v>
                </c:pt>
                <c:pt idx="166">
                  <c:v>3.1581308419419536E-2</c:v>
                </c:pt>
                <c:pt idx="167">
                  <c:v>3.2297131737160777E-2</c:v>
                </c:pt>
                <c:pt idx="168">
                  <c:v>3.3024521470996195E-2</c:v>
                </c:pt>
                <c:pt idx="169">
                  <c:v>3.3763530623492452E-2</c:v>
                </c:pt>
                <c:pt idx="170">
                  <c:v>3.4514208415702331E-2</c:v>
                </c:pt>
                <c:pt idx="171">
                  <c:v>3.5276600174470416E-2</c:v>
                </c:pt>
                <c:pt idx="172">
                  <c:v>3.6050747220001574E-2</c:v>
                </c:pt>
                <c:pt idx="173">
                  <c:v>3.683668675379468E-2</c:v>
                </c:pt>
                <c:pt idx="174">
                  <c:v>3.7634451747045154E-2</c:v>
                </c:pt>
                <c:pt idx="175">
                  <c:v>3.8444070829622375E-2</c:v>
                </c:pt>
                <c:pt idx="176">
                  <c:v>3.9265568179729281E-2</c:v>
                </c:pt>
                <c:pt idx="177">
                  <c:v>4.0098963414353275E-2</c:v>
                </c:pt>
                <c:pt idx="178">
                  <c:v>4.0944271480619278E-2</c:v>
                </c:pt>
                <c:pt idx="179">
                  <c:v>4.1801502548157121E-2</c:v>
                </c:pt>
                <c:pt idx="180">
                  <c:v>4.2670661902596711E-2</c:v>
                </c:pt>
                <c:pt idx="181">
                  <c:v>4.3551749840305881E-2</c:v>
                </c:pt>
                <c:pt idx="182">
                  <c:v>4.4444761564486984E-2</c:v>
                </c:pt>
                <c:pt idx="183">
                  <c:v>4.5349687082749231E-2</c:v>
                </c:pt>
                <c:pt idx="184">
                  <c:v>4.6266511106274923E-2</c:v>
                </c:pt>
                <c:pt idx="185">
                  <c:v>4.7195212950698291E-2</c:v>
                </c:pt>
                <c:pt idx="186">
                  <c:v>4.8135766438816667E-2</c:v>
                </c:pt>
                <c:pt idx="187">
                  <c:v>4.9088139805254075E-2</c:v>
                </c:pt>
                <c:pt idx="188">
                  <c:v>5.0052295603198078E-2</c:v>
                </c:pt>
                <c:pt idx="189">
                  <c:v>5.1028190613330714E-2</c:v>
                </c:pt>
                <c:pt idx="190">
                  <c:v>5.2015775755074836E-2</c:v>
                </c:pt>
                <c:pt idx="191">
                  <c:v>5.301499600027703E-2</c:v>
                </c:pt>
                <c:pt idx="192">
                  <c:v>5.4025790289448795E-2</c:v>
                </c:pt>
                <c:pt idx="193">
                  <c:v>5.5048091450686371E-2</c:v>
                </c:pt>
                <c:pt idx="194">
                  <c:v>5.6081826121390656E-2</c:v>
                </c:pt>
                <c:pt idx="195">
                  <c:v>5.7126914672906738E-2</c:v>
                </c:pt>
                <c:pt idx="196">
                  <c:v>5.818327113820336E-2</c:v>
                </c:pt>
                <c:pt idx="197">
                  <c:v>5.9250803142710674E-2</c:v>
                </c:pt>
                <c:pt idx="198">
                  <c:v>6.0329411838434391E-2</c:v>
                </c:pt>
                <c:pt idx="199">
                  <c:v>6.1418991841463141E-2</c:v>
                </c:pt>
                <c:pt idx="200">
                  <c:v>6.2519431172984627E-2</c:v>
                </c:pt>
                <c:pt idx="201">
                  <c:v>6.3630611203924992E-2</c:v>
                </c:pt>
                <c:pt idx="202">
                  <c:v>6.4752406603323681E-2</c:v>
                </c:pt>
                <c:pt idx="203">
                  <c:v>6.5884685290555453E-2</c:v>
                </c:pt>
                <c:pt idx="204">
                  <c:v>6.7027308391507875E-2</c:v>
                </c:pt>
                <c:pt idx="205">
                  <c:v>6.81801301988222E-2</c:v>
                </c:pt>
                <c:pt idx="206">
                  <c:v>6.9342998136302125E-2</c:v>
                </c:pt>
                <c:pt idx="207">
                  <c:v>7.051575272759332E-2</c:v>
                </c:pt>
                <c:pt idx="208">
                  <c:v>7.1698227569233899E-2</c:v>
                </c:pt>
                <c:pt idx="209">
                  <c:v>7.2890249308172991E-2</c:v>
                </c:pt>
                <c:pt idx="210">
                  <c:v>7.4091637623852888E-2</c:v>
                </c:pt>
                <c:pt idx="211">
                  <c:v>7.5302205214945933E-2</c:v>
                </c:pt>
                <c:pt idx="212">
                  <c:v>7.6521757790835088E-2</c:v>
                </c:pt>
                <c:pt idx="213">
                  <c:v>7.7750094067923686E-2</c:v>
                </c:pt>
                <c:pt idx="214">
                  <c:v>7.8987005770856294E-2</c:v>
                </c:pt>
                <c:pt idx="215">
                  <c:v>8.0232277638729296E-2</c:v>
                </c:pt>
                <c:pt idx="216">
                  <c:v>8.1485687436365764E-2</c:v>
                </c:pt>
                <c:pt idx="217">
                  <c:v>8.2747005970726026E-2</c:v>
                </c:pt>
                <c:pt idx="218">
                  <c:v>8.401599711252021E-2</c:v>
                </c:pt>
                <c:pt idx="219">
                  <c:v>8.5292417823086261E-2</c:v>
                </c:pt>
                <c:pt idx="220">
                  <c:v>8.6576018186591663E-2</c:v>
                </c:pt>
                <c:pt idx="221">
                  <c:v>8.7866541447612967E-2</c:v>
                </c:pt>
                <c:pt idx="222">
                  <c:v>8.9163724054143217E-2</c:v>
                </c:pt>
                <c:pt idx="223">
                  <c:v>9.0467295706071579E-2</c:v>
                </c:pt>
                <c:pt idx="224">
                  <c:v>9.1776979409176285E-2</c:v>
                </c:pt>
                <c:pt idx="225">
                  <c:v>9.3092491534665436E-2</c:v>
                </c:pt>
                <c:pt idx="226">
                  <c:v>9.441354188429664E-2</c:v>
                </c:pt>
                <c:pt idx="227">
                  <c:v>9.5739833761100249E-2</c:v>
                </c:pt>
                <c:pt idx="228">
                  <c:v>9.7071064045726685E-2</c:v>
                </c:pt>
                <c:pt idx="229">
                  <c:v>9.8406923278432284E-2</c:v>
                </c:pt>
                <c:pt idx="230">
                  <c:v>9.974709574671306E-2</c:v>
                </c:pt>
                <c:pt idx="231">
                  <c:v>0.10109125957859043</c:v>
                </c:pt>
                <c:pt idx="232">
                  <c:v>0.10243908684154698</c:v>
                </c:pt>
                <c:pt idx="233">
                  <c:v>0.10379024364710487</c:v>
                </c:pt>
                <c:pt idx="234">
                  <c:v>0.10514439026103417</c:v>
                </c:pt>
                <c:pt idx="235">
                  <c:v>0.10650118121917215</c:v>
                </c:pt>
                <c:pt idx="236">
                  <c:v>0.10786026544882847</c:v>
                </c:pt>
                <c:pt idx="237">
                  <c:v>0.10922128639574642</c:v>
                </c:pt>
                <c:pt idx="238">
                  <c:v>0.11058388215658342</c:v>
                </c:pt>
                <c:pt idx="239">
                  <c:v>0.11194768561686824</c:v>
                </c:pt>
                <c:pt idx="240">
                  <c:v>0.11331232459438711</c:v>
                </c:pt>
                <c:pt idx="241">
                  <c:v>0.11467742198794356</c:v>
                </c:pt>
                <c:pt idx="242">
                  <c:v>0.11604259593143237</c:v>
                </c:pt>
                <c:pt idx="243">
                  <c:v>0.11740745995316093</c:v>
                </c:pt>
                <c:pt idx="244">
                  <c:v>0.11877162314034545</c:v>
                </c:pt>
                <c:pt idx="245">
                  <c:v>0.1201346903087037</c:v>
                </c:pt>
                <c:pt idx="246">
                  <c:v>0.12149626217706022</c:v>
                </c:pt>
                <c:pt idx="247">
                  <c:v>0.12285593554687292</c:v>
                </c:pt>
                <c:pt idx="248">
                  <c:v>0.12421330348658555</c:v>
                </c:pt>
                <c:pt idx="249">
                  <c:v>0.12556795552070307</c:v>
                </c:pt>
                <c:pt idx="250">
                  <c:v>0.12691947782348281</c:v>
                </c:pt>
                <c:pt idx="251">
                  <c:v>0.12826745341712659</c:v>
                </c:pt>
                <c:pt idx="252">
                  <c:v>0.12961146237435497</c:v>
                </c:pt>
                <c:pt idx="253">
                  <c:v>0.13095108202523847</c:v>
                </c:pt>
                <c:pt idx="254">
                  <c:v>0.13228588716815448</c:v>
                </c:pt>
                <c:pt idx="255">
                  <c:v>0.13361545028473404</c:v>
                </c:pt>
                <c:pt idx="256">
                  <c:v>0.1349393417586571</c:v>
                </c:pt>
                <c:pt idx="257">
                  <c:v>0.13625713009814897</c:v>
                </c:pt>
                <c:pt idx="258">
                  <c:v>0.13756838216202585</c:v>
                </c:pt>
                <c:pt idx="259">
                  <c:v>0.13887266338913332</c:v>
                </c:pt>
                <c:pt idx="260">
                  <c:v>0.1401695380310144</c:v>
                </c:pt>
                <c:pt idx="261">
                  <c:v>0.14145856938764181</c:v>
                </c:pt>
                <c:pt idx="262">
                  <c:v>0.1427393200460422</c:v>
                </c:pt>
                <c:pt idx="263">
                  <c:v>0.14401135212163652</c:v>
                </c:pt>
                <c:pt idx="264">
                  <c:v>0.14527422750211702</c:v>
                </c:pt>
                <c:pt idx="265">
                  <c:v>0.14652750809367596</c:v>
                </c:pt>
                <c:pt idx="266">
                  <c:v>0.14777075606939749</c:v>
                </c:pt>
                <c:pt idx="267">
                  <c:v>0.14900353411962156</c:v>
                </c:pt>
                <c:pt idx="268">
                  <c:v>0.15022540570408294</c:v>
                </c:pt>
                <c:pt idx="269">
                  <c:v>0.15143593530562696</c:v>
                </c:pt>
                <c:pt idx="270">
                  <c:v>0.15263468868529922</c:v>
                </c:pt>
                <c:pt idx="271">
                  <c:v>0.15382123313860388</c:v>
                </c:pt>
                <c:pt idx="272">
                  <c:v>0.15499513775272197</c:v>
                </c:pt>
                <c:pt idx="273">
                  <c:v>0.1561559736644795</c:v>
                </c:pt>
                <c:pt idx="274">
                  <c:v>0.15730331431885111</c:v>
                </c:pt>
                <c:pt idx="275">
                  <c:v>0.15843673572778466</c:v>
                </c:pt>
                <c:pt idx="276">
                  <c:v>0.15955581672912869</c:v>
                </c:pt>
                <c:pt idx="277">
                  <c:v>0.16066013924544392</c:v>
                </c:pt>
                <c:pt idx="278">
                  <c:v>0.16174928854247825</c:v>
                </c:pt>
                <c:pt idx="279">
                  <c:v>0.16282285348708295</c:v>
                </c:pt>
                <c:pt idx="280">
                  <c:v>0.16388042680434792</c:v>
                </c:pt>
                <c:pt idx="281">
                  <c:v>0.16492160533373132</c:v>
                </c:pt>
                <c:pt idx="282">
                  <c:v>0.1659459902839609</c:v>
                </c:pt>
                <c:pt idx="283">
                  <c:v>0.16695318748648108</c:v>
                </c:pt>
                <c:pt idx="284">
                  <c:v>0.16794280764722261</c:v>
                </c:pt>
                <c:pt idx="285">
                  <c:v>0.16891446659647022</c:v>
                </c:pt>
                <c:pt idx="286">
                  <c:v>0.16986778553660464</c:v>
                </c:pt>
                <c:pt idx="287">
                  <c:v>0.17080239128749583</c:v>
                </c:pt>
                <c:pt idx="288">
                  <c:v>0.17171791652932669</c:v>
                </c:pt>
                <c:pt idx="289">
                  <c:v>0.17261400004262509</c:v>
                </c:pt>
                <c:pt idx="290">
                  <c:v>0.17349028694528668</c:v>
                </c:pt>
                <c:pt idx="291">
                  <c:v>0.17434642892637017</c:v>
                </c:pt>
                <c:pt idx="292">
                  <c:v>0.17518208447645076</c:v>
                </c:pt>
                <c:pt idx="293">
                  <c:v>0.17599691911431789</c:v>
                </c:pt>
                <c:pt idx="294">
                  <c:v>0.176790605609808</c:v>
                </c:pt>
                <c:pt idx="295">
                  <c:v>0.17756282420256383</c:v>
                </c:pt>
                <c:pt idx="296">
                  <c:v>0.1783132628165166</c:v>
                </c:pt>
                <c:pt idx="297">
                  <c:v>0.17904161726988918</c:v>
                </c:pt>
                <c:pt idx="298">
                  <c:v>0.17974759148052297</c:v>
                </c:pt>
                <c:pt idx="299">
                  <c:v>0.18043089766633461</c:v>
                </c:pt>
                <c:pt idx="300">
                  <c:v>0.18109125654071273</c:v>
                </c:pt>
                <c:pt idx="301">
                  <c:v>0.1817283975026687</c:v>
                </c:pt>
                <c:pt idx="302">
                  <c:v>0.18234205882156077</c:v>
                </c:pt>
                <c:pt idx="303">
                  <c:v>0.18293198781621478</c:v>
                </c:pt>
                <c:pt idx="304">
                  <c:v>0.18349794102827016</c:v>
                </c:pt>
                <c:pt idx="305">
                  <c:v>0.18403968438958451</c:v>
                </c:pt>
                <c:pt idx="306">
                  <c:v>0.18455699338353584</c:v>
                </c:pt>
                <c:pt idx="307">
                  <c:v>0.18504965320006689</c:v>
                </c:pt>
                <c:pt idx="308">
                  <c:v>0.18551745888432158</c:v>
                </c:pt>
                <c:pt idx="309">
                  <c:v>0.18596021547872971</c:v>
                </c:pt>
                <c:pt idx="310">
                  <c:v>0.18637773815840197</c:v>
                </c:pt>
                <c:pt idx="311">
                  <c:v>0.18676985235970381</c:v>
                </c:pt>
                <c:pt idx="312">
                  <c:v>0.18713639390188247</c:v>
                </c:pt>
                <c:pt idx="313">
                  <c:v>0.18747720910162929</c:v>
                </c:pt>
                <c:pt idx="314">
                  <c:v>0.18779215488046475</c:v>
                </c:pt>
                <c:pt idx="315">
                  <c:v>0.18808109886484173</c:v>
                </c:pt>
                <c:pt idx="316">
                  <c:v>0.18834391947886811</c:v>
                </c:pt>
                <c:pt idx="317">
                  <c:v>0.18858050602955906</c:v>
                </c:pt>
                <c:pt idx="318">
                  <c:v>0.18879075878453402</c:v>
                </c:pt>
                <c:pt idx="319">
                  <c:v>0.188974589042083</c:v>
                </c:pt>
                <c:pt idx="320">
                  <c:v>0.18913191919353273</c:v>
                </c:pt>
                <c:pt idx="321">
                  <c:v>0.18926268277785138</c:v>
                </c:pt>
                <c:pt idx="322">
                  <c:v>0.18936682452843834</c:v>
                </c:pt>
                <c:pt idx="323">
                  <c:v>0.18944430041205274</c:v>
                </c:pt>
                <c:pt idx="324">
                  <c:v>0.189495077659842</c:v>
                </c:pt>
                <c:pt idx="325">
                  <c:v>0.1895191347904405</c:v>
                </c:pt>
                <c:pt idx="326">
                  <c:v>0.18951646162511512</c:v>
                </c:pt>
                <c:pt idx="327">
                  <c:v>0.18948705929494253</c:v>
                </c:pt>
                <c:pt idx="328">
                  <c:v>0.18943094024001172</c:v>
                </c:pt>
                <c:pt idx="329">
                  <c:v>0.18934812820065208</c:v>
                </c:pt>
                <c:pt idx="330">
                  <c:v>0.18923865820069583</c:v>
                </c:pt>
                <c:pt idx="331">
                  <c:v>0.1891025765227915</c:v>
                </c:pt>
                <c:pt idx="332">
                  <c:v>0.18893994067579226</c:v>
                </c:pt>
                <c:pt idx="333">
                  <c:v>0.18875081935425223</c:v>
                </c:pt>
                <c:pt idx="334">
                  <c:v>0.18853529239006955</c:v>
                </c:pt>
                <c:pt idx="335">
                  <c:v>0.18829345069632503</c:v>
                </c:pt>
                <c:pt idx="336">
                  <c:v>0.18802539620337058</c:v>
                </c:pt>
                <c:pt idx="337">
                  <c:v>0.18773124178723119</c:v>
                </c:pt>
                <c:pt idx="338">
                  <c:v>0.18741111119039039</c:v>
                </c:pt>
                <c:pt idx="339">
                  <c:v>0.18706513893503721</c:v>
                </c:pt>
                <c:pt idx="340">
                  <c:v>0.18669347022885971</c:v>
                </c:pt>
                <c:pt idx="341">
                  <c:v>0.18629626086347736</c:v>
                </c:pt>
                <c:pt idx="342">
                  <c:v>0.18587367710561198</c:v>
                </c:pt>
                <c:pt idx="343">
                  <c:v>0.18542589558110334</c:v>
                </c:pt>
                <c:pt idx="344">
                  <c:v>0.1849531031518829</c:v>
                </c:pt>
                <c:pt idx="345">
                  <c:v>0.18445549678602571</c:v>
                </c:pt>
                <c:pt idx="346">
                  <c:v>0.18393328342100651</c:v>
                </c:pt>
                <c:pt idx="347">
                  <c:v>0.18338667982029355</c:v>
                </c:pt>
                <c:pt idx="348">
                  <c:v>0.18281591242341894</c:v>
                </c:pt>
                <c:pt idx="349">
                  <c:v>0.18222121718967041</c:v>
                </c:pt>
                <c:pt idx="350">
                  <c:v>0.18160283943555616</c:v>
                </c:pt>
                <c:pt idx="351">
                  <c:v>0.1809610336661987</c:v>
                </c:pt>
                <c:pt idx="352">
                  <c:v>0.18029606340082063</c:v>
                </c:pt>
                <c:pt idx="353">
                  <c:v>0.17960820099248931</c:v>
                </c:pt>
                <c:pt idx="354">
                  <c:v>0.1788977274422931</c:v>
                </c:pt>
                <c:pt idx="355">
                  <c:v>0.17816493220812668</c:v>
                </c:pt>
                <c:pt idx="356">
                  <c:v>0.17741011300826756</c:v>
                </c:pt>
                <c:pt idx="357">
                  <c:v>0.17663357561992979</c:v>
                </c:pt>
                <c:pt idx="358">
                  <c:v>0.17583563367298632</c:v>
                </c:pt>
                <c:pt idx="359">
                  <c:v>0.17501660843905403</c:v>
                </c:pt>
                <c:pt idx="360">
                  <c:v>0.17417682861613992</c:v>
                </c:pt>
                <c:pt idx="361">
                  <c:v>0.17331663010905066</c:v>
                </c:pt>
                <c:pt idx="362">
                  <c:v>0.1724363558057703</c:v>
                </c:pt>
                <c:pt idx="363">
                  <c:v>0.17153635535001416</c:v>
                </c:pt>
                <c:pt idx="364">
                  <c:v>0.17061698491017022</c:v>
                </c:pt>
                <c:pt idx="365">
                  <c:v>0.16967860694484077</c:v>
                </c:pt>
                <c:pt idx="366">
                  <c:v>0.16872158996520067</c:v>
                </c:pt>
                <c:pt idx="367">
                  <c:v>0.16774630829438897</c:v>
                </c:pt>
                <c:pt idx="368">
                  <c:v>0.16675314182415413</c:v>
                </c:pt>
                <c:pt idx="369">
                  <c:v>0.16574247576897269</c:v>
                </c:pt>
                <c:pt idx="370">
                  <c:v>0.16471470041786473</c:v>
                </c:pt>
                <c:pt idx="371">
                  <c:v>0.16367021088412761</c:v>
                </c:pt>
                <c:pt idx="372">
                  <c:v>0.16260940685321307</c:v>
                </c:pt>
                <c:pt idx="373">
                  <c:v>0.16153269232897119</c:v>
                </c:pt>
                <c:pt idx="374">
                  <c:v>0.1604404753784856</c:v>
                </c:pt>
                <c:pt idx="375">
                  <c:v>0.15933316787572471</c:v>
                </c:pt>
                <c:pt idx="376">
                  <c:v>0.1582111852442325</c:v>
                </c:pt>
                <c:pt idx="377">
                  <c:v>0.15707494619908255</c:v>
                </c:pt>
                <c:pt idx="378">
                  <c:v>0.15592487248831832</c:v>
                </c:pt>
                <c:pt idx="379">
                  <c:v>0.15476138863410063</c:v>
                </c:pt>
                <c:pt idx="380">
                  <c:v>0.15358492167378338</c:v>
                </c:pt>
                <c:pt idx="381">
                  <c:v>0.15239590090113581</c:v>
                </c:pt>
                <c:pt idx="382">
                  <c:v>0.15119475760792872</c:v>
                </c:pt>
                <c:pt idx="383">
                  <c:v>0.14998192482609951</c:v>
                </c:pt>
                <c:pt idx="384">
                  <c:v>0.14875783707070883</c:v>
                </c:pt>
                <c:pt idx="385">
                  <c:v>0.14752293008389963</c:v>
                </c:pt>
                <c:pt idx="386">
                  <c:v>0.14627764058006582</c:v>
                </c:pt>
                <c:pt idx="387">
                  <c:v>0.14502240599243577</c:v>
                </c:pt>
                <c:pt idx="388">
                  <c:v>0.14375766422127245</c:v>
                </c:pt>
                <c:pt idx="389">
                  <c:v>0.14248385338388855</c:v>
                </c:pt>
                <c:pt idx="390">
                  <c:v>0.14120141156667179</c:v>
                </c:pt>
                <c:pt idx="391">
                  <c:v>0.13991077657931167</c:v>
                </c:pt>
                <c:pt idx="392">
                  <c:v>0.13861238571141524</c:v>
                </c:pt>
                <c:pt idx="393">
                  <c:v>0.13730667549169559</c:v>
                </c:pt>
                <c:pt idx="394">
                  <c:v>0.13599408144991221</c:v>
                </c:pt>
                <c:pt idx="395">
                  <c:v>0.13467503788173779</c:v>
                </c:pt>
                <c:pt idx="396">
                  <c:v>0.13334997761672315</c:v>
                </c:pt>
                <c:pt idx="397">
                  <c:v>0.13201933178952438</c:v>
                </c:pt>
                <c:pt idx="398">
                  <c:v>0.13068352961455471</c:v>
                </c:pt>
                <c:pt idx="399">
                  <c:v>0.12934299816421638</c:v>
                </c:pt>
                <c:pt idx="400">
                  <c:v>0.12799816215086343</c:v>
                </c:pt>
                <c:pt idx="401">
                  <c:v>0.12664944371264186</c:v>
                </c:pt>
                <c:pt idx="402">
                  <c:v>0.12529726220334692</c:v>
                </c:pt>
                <c:pt idx="403">
                  <c:v>0.12394203398643316</c:v>
                </c:pt>
                <c:pt idx="404">
                  <c:v>0.12258417223330682</c:v>
                </c:pt>
                <c:pt idx="405">
                  <c:v>0.1212240867260243</c:v>
                </c:pt>
                <c:pt idx="406">
                  <c:v>0.11986218366451544</c:v>
                </c:pt>
                <c:pt idx="407">
                  <c:v>0.11849886547844425</c:v>
                </c:pt>
                <c:pt idx="408">
                  <c:v>0.11713453064381352</c:v>
                </c:pt>
                <c:pt idx="409">
                  <c:v>0.11576957350441505</c:v>
                </c:pt>
                <c:pt idx="410">
                  <c:v>0.1144043840982199</c:v>
                </c:pt>
                <c:pt idx="411">
                  <c:v>0.11303934798879846</c:v>
                </c:pt>
                <c:pt idx="412">
                  <c:v>0.1116748461018529</c:v>
                </c:pt>
                <c:pt idx="413">
                  <c:v>0.11031125456693999</c:v>
                </c:pt>
                <c:pt idx="414">
                  <c:v>0.10894894456445468</c:v>
                </c:pt>
                <c:pt idx="415">
                  <c:v>0.10758828217794031</c:v>
                </c:pt>
                <c:pt idx="416">
                  <c:v>0.10622962825178432</c:v>
                </c:pt>
                <c:pt idx="417">
                  <c:v>0.10487333825435251</c:v>
                </c:pt>
                <c:pt idx="418">
                  <c:v>0.1035197621466093</c:v>
                </c:pt>
                <c:pt idx="419">
                  <c:v>0.10216924425626496</c:v>
                </c:pt>
                <c:pt idx="420">
                  <c:v>0.10082212315748527</c:v>
                </c:pt>
                <c:pt idx="421">
                  <c:v>9.947873155619269E-2</c:v>
                </c:pt>
                <c:pt idx="422">
                  <c:v>9.8139396180982857E-2</c:v>
                </c:pt>
                <c:pt idx="423">
                  <c:v>9.680443767967345E-2</c:v>
                </c:pt>
                <c:pt idx="424">
                  <c:v>9.5474170521498411E-2</c:v>
                </c:pt>
                <c:pt idx="425">
                  <c:v>9.4148902904952481E-2</c:v>
                </c:pt>
                <c:pt idx="426">
                  <c:v>9.2828936671287512E-2</c:v>
                </c:pt>
                <c:pt idx="427">
                  <c:v>9.1514567223655252E-2</c:v>
                </c:pt>
                <c:pt idx="428">
                  <c:v>9.0206083451886229E-2</c:v>
                </c:pt>
                <c:pt idx="429">
                  <c:v>8.8903767662888961E-2</c:v>
                </c:pt>
                <c:pt idx="430">
                  <c:v>8.7607895516648299E-2</c:v>
                </c:pt>
                <c:pt idx="431">
                  <c:v>8.6318735967796739E-2</c:v>
                </c:pt>
                <c:pt idx="432">
                  <c:v>8.5036551212727254E-2</c:v>
                </c:pt>
                <c:pt idx="433">
                  <c:v>8.3761596642211278E-2</c:v>
                </c:pt>
                <c:pt idx="434">
                  <c:v>8.2494120799480777E-2</c:v>
                </c:pt>
                <c:pt idx="435">
                  <c:v>8.123436534372834E-2</c:v>
                </c:pt>
                <c:pt idx="436">
                  <c:v>7.9982565018974688E-2</c:v>
                </c:pt>
                <c:pt idx="437">
                  <c:v>7.873894762824854E-2</c:v>
                </c:pt>
                <c:pt idx="438">
                  <c:v>7.7503734013019646E-2</c:v>
                </c:pt>
                <c:pt idx="439">
                  <c:v>7.6277138037820907E-2</c:v>
                </c:pt>
                <c:pt idx="440">
                  <c:v>7.5059366579992085E-2</c:v>
                </c:pt>
                <c:pt idx="441">
                  <c:v>7.3850619524473263E-2</c:v>
                </c:pt>
                <c:pt idx="442">
                  <c:v>7.2651089763572665E-2</c:v>
                </c:pt>
                <c:pt idx="443">
                  <c:v>7.1460963201629327E-2</c:v>
                </c:pt>
                <c:pt idx="444">
                  <c:v>7.0280418764488303E-2</c:v>
                </c:pt>
                <c:pt idx="445">
                  <c:v>6.9109628413701871E-2</c:v>
                </c:pt>
                <c:pt idx="446">
                  <c:v>6.7948757165367524E-2</c:v>
                </c:pt>
                <c:pt idx="447">
                  <c:v>6.679796311351073E-2</c:v>
                </c:pt>
                <c:pt idx="448">
                  <c:v>6.565739745791653E-2</c:v>
                </c:pt>
                <c:pt idx="449">
                  <c:v>6.4527204536312222E-2</c:v>
                </c:pt>
                <c:pt idx="450">
                  <c:v>6.3407521860800536E-2</c:v>
                </c:pt>
                <c:pt idx="451">
                  <c:v>6.2298480158439855E-2</c:v>
                </c:pt>
                <c:pt idx="452">
                  <c:v>6.120020341586644E-2</c:v>
                </c:pt>
                <c:pt idx="453">
                  <c:v>6.0112808927850689E-2</c:v>
                </c:pt>
                <c:pt idx="454">
                  <c:v>5.9036407349678299E-2</c:v>
                </c:pt>
                <c:pt idx="455">
                  <c:v>5.7971102753244526E-2</c:v>
                </c:pt>
                <c:pt idx="456">
                  <c:v>5.691699268674915E-2</c:v>
                </c:pt>
                <c:pt idx="457">
                  <c:v>5.5874168237876921E-2</c:v>
                </c:pt>
                <c:pt idx="458">
                  <c:v>5.484271410034805E-2</c:v>
                </c:pt>
                <c:pt idx="459">
                  <c:v>5.3822708643721642E-2</c:v>
                </c:pt>
                <c:pt idx="460">
                  <c:v>5.2814223986333737E-2</c:v>
                </c:pt>
                <c:pt idx="461">
                  <c:v>5.1817326071251328E-2</c:v>
                </c:pt>
                <c:pt idx="462">
                  <c:v>5.0832074745121997E-2</c:v>
                </c:pt>
                <c:pt idx="463">
                  <c:v>4.98585238397996E-2</c:v>
                </c:pt>
                <c:pt idx="464">
                  <c:v>4.8896721256624379E-2</c:v>
                </c:pt>
                <c:pt idx="465">
                  <c:v>4.7946709053237023E-2</c:v>
                </c:pt>
                <c:pt idx="466">
                  <c:v>4.7008523532805227E-2</c:v>
                </c:pt>
                <c:pt idx="467">
                  <c:v>4.6082195335541164E-2</c:v>
                </c:pt>
                <c:pt idx="468">
                  <c:v>4.5167749532388987E-2</c:v>
                </c:pt>
                <c:pt idx="469">
                  <c:v>4.4265205720761383E-2</c:v>
                </c:pt>
                <c:pt idx="470">
                  <c:v>4.3374578122204466E-2</c:v>
                </c:pt>
                <c:pt idx="471">
                  <c:v>4.2495875681870972E-2</c:v>
                </c:pt>
                <c:pt idx="472">
                  <c:v>4.1629102169682325E-2</c:v>
                </c:pt>
                <c:pt idx="473">
                  <c:v>4.0774256283060861E-2</c:v>
                </c:pt>
                <c:pt idx="474">
                  <c:v>3.9931331751114275E-2</c:v>
                </c:pt>
                <c:pt idx="475">
                  <c:v>3.9100317440155588E-2</c:v>
                </c:pt>
                <c:pt idx="476">
                  <c:v>3.8281197460442694E-2</c:v>
                </c:pt>
                <c:pt idx="477">
                  <c:v>3.7473951274022858E-2</c:v>
                </c:pt>
                <c:pt idx="478">
                  <c:v>3.6678553803569013E-2</c:v>
                </c:pt>
                <c:pt idx="479">
                  <c:v>3.5894975542095954E-2</c:v>
                </c:pt>
                <c:pt idx="480">
                  <c:v>3.5123182663445822E-2</c:v>
                </c:pt>
                <c:pt idx="481">
                  <c:v>3.4363137133434245E-2</c:v>
                </c:pt>
                <c:pt idx="482">
                  <c:v>3.3614796821549935E-2</c:v>
                </c:pt>
                <c:pt idx="483">
                  <c:v>3.287811561310227E-2</c:v>
                </c:pt>
                <c:pt idx="484">
                  <c:v>3.2153043521713512E-2</c:v>
                </c:pt>
                <c:pt idx="485">
                  <c:v>3.1439526802053634E-2</c:v>
                </c:pt>
                <c:pt idx="486">
                  <c:v>3.0737508062718515E-2</c:v>
                </c:pt>
                <c:pt idx="487">
                  <c:v>3.0046926379153609E-2</c:v>
                </c:pt>
                <c:pt idx="488">
                  <c:v>2.9367717406527622E-2</c:v>
                </c:pt>
                <c:pt idx="489">
                  <c:v>2.8699813492463037E-2</c:v>
                </c:pt>
                <c:pt idx="490">
                  <c:v>2.8043143789532186E-2</c:v>
                </c:pt>
                <c:pt idx="491">
                  <c:v>2.7397634367430142E-2</c:v>
                </c:pt>
                <c:pt idx="492">
                  <c:v>2.6763208324737969E-2</c:v>
                </c:pt>
                <c:pt idx="493">
                  <c:v>2.6139785900192229E-2</c:v>
                </c:pt>
                <c:pt idx="494">
                  <c:v>2.5527284583378933E-2</c:v>
                </c:pt>
                <c:pt idx="495">
                  <c:v>2.4925619224772842E-2</c:v>
                </c:pt>
                <c:pt idx="496">
                  <c:v>2.4334702145045184E-2</c:v>
                </c:pt>
                <c:pt idx="497">
                  <c:v>2.3754443243565633E-2</c:v>
                </c:pt>
                <c:pt idx="498">
                  <c:v>2.3184750106026844E-2</c:v>
                </c:pt>
                <c:pt idx="499">
                  <c:v>2.2625528111122138E-2</c:v>
                </c:pt>
                <c:pt idx="500">
                  <c:v>2.2076680536210109E-2</c:v>
                </c:pt>
                <c:pt idx="501">
                  <c:v>2.1538108661901648E-2</c:v>
                </c:pt>
                <c:pt idx="502">
                  <c:v>2.1009711875508395E-2</c:v>
                </c:pt>
                <c:pt idx="503">
                  <c:v>2.049138777329337E-2</c:v>
                </c:pt>
                <c:pt idx="504">
                  <c:v>1.9983032261467915E-2</c:v>
                </c:pt>
                <c:pt idx="505">
                  <c:v>1.9484539655880921E-2</c:v>
                </c:pt>
                <c:pt idx="506">
                  <c:v>1.8995802780349628E-2</c:v>
                </c:pt>
                <c:pt idx="507">
                  <c:v>1.8516713063583289E-2</c:v>
                </c:pt>
                <c:pt idx="508">
                  <c:v>1.8047160634653895E-2</c:v>
                </c:pt>
                <c:pt idx="509">
                  <c:v>1.7587034416970713E-2</c:v>
                </c:pt>
                <c:pt idx="510">
                  <c:v>1.7136222220717669E-2</c:v>
                </c:pt>
                <c:pt idx="511">
                  <c:v>1.6694610833715543E-2</c:v>
                </c:pt>
                <c:pt idx="512">
                  <c:v>1.6262086110673049E-2</c:v>
                </c:pt>
                <c:pt idx="513">
                  <c:v>1.5838533060793681E-2</c:v>
                </c:pt>
                <c:pt idx="514">
                  <c:v>1.542383593370745E-2</c:v>
                </c:pt>
                <c:pt idx="515">
                  <c:v>1.5017878303699177E-2</c:v>
                </c:pt>
                <c:pt idx="516">
                  <c:v>1.4620543152207326E-2</c:v>
                </c:pt>
                <c:pt idx="517">
                  <c:v>1.4231712948569786E-2</c:v>
                </c:pt>
                <c:pt idx="518">
                  <c:v>1.3851269728995336E-2</c:v>
                </c:pt>
                <c:pt idx="519">
                  <c:v>1.347909517374183E-2</c:v>
                </c:pt>
                <c:pt idx="520">
                  <c:v>1.3115070682484176E-2</c:v>
                </c:pt>
                <c:pt idx="521">
                  <c:v>1.275907744785785E-2</c:v>
                </c:pt>
                <c:pt idx="522">
                  <c:v>1.241099652716535E-2</c:v>
                </c:pt>
                <c:pt idx="523">
                  <c:v>1.2070708912235453E-2</c:v>
                </c:pt>
                <c:pt idx="524">
                  <c:v>1.1738095597427094E-2</c:v>
                </c:pt>
                <c:pt idx="525">
                  <c:v>1.1413037645771689E-2</c:v>
                </c:pt>
                <c:pt idx="526">
                  <c:v>1.1095416253249772E-2</c:v>
                </c:pt>
                <c:pt idx="527">
                  <c:v>1.078511281119969E-2</c:v>
                </c:pt>
                <c:pt idx="528">
                  <c:v>1.0482008966858095E-2</c:v>
                </c:pt>
                <c:pt idx="529">
                  <c:v>1.018598668203353E-2</c:v>
                </c:pt>
                <c:pt idx="530">
                  <c:v>9.8969282899165727E-3</c:v>
                </c:pt>
                <c:pt idx="531">
                  <c:v>9.6147165500313405E-3</c:v>
                </c:pt>
                <c:pt idx="532">
                  <c:v>9.3392347013351203E-3</c:v>
                </c:pt>
                <c:pt idx="533">
                  <c:v>9.0703665134743237E-3</c:v>
                </c:pt>
                <c:pt idx="534">
                  <c:v>8.8079963362065888E-3</c:v>
                </c:pt>
                <c:pt idx="535">
                  <c:v>8.5520091470003782E-3</c:v>
                </c:pt>
                <c:pt idx="536">
                  <c:v>8.3022905968247913E-3</c:v>
                </c:pt>
                <c:pt idx="537">
                  <c:v>8.058727054143856E-3</c:v>
                </c:pt>
                <c:pt idx="538">
                  <c:v>7.8212056471306558E-3</c:v>
                </c:pt>
                <c:pt idx="539">
                  <c:v>7.5896143041181766E-3</c:v>
                </c:pt>
                <c:pt idx="540">
                  <c:v>7.3638417923048601E-3</c:v>
                </c:pt>
                <c:pt idx="541">
                  <c:v>7.1437777547339832E-3</c:v>
                </c:pt>
                <c:pt idx="542">
                  <c:v>6.929312745567213E-3</c:v>
                </c:pt>
                <c:pt idx="543">
                  <c:v>6.7203382636736213E-3</c:v>
                </c:pt>
                <c:pt idx="544">
                  <c:v>6.5167467845565494E-3</c:v>
                </c:pt>
                <c:pt idx="545">
                  <c:v>6.3184317906415481E-3</c:v>
                </c:pt>
                <c:pt idx="546">
                  <c:v>6.1252877999496734E-3</c:v>
                </c:pt>
                <c:pt idx="547">
                  <c:v>5.9372103931810589E-3</c:v>
                </c:pt>
                <c:pt idx="548">
                  <c:v>5.7540962392346011E-3</c:v>
                </c:pt>
                <c:pt idx="549">
                  <c:v>5.575843119190343E-3</c:v>
                </c:pt>
                <c:pt idx="550">
                  <c:v>5.4023499487817171E-3</c:v>
                </c:pt>
                <c:pt idx="551">
                  <c:v>5.2335167993855297E-3</c:v>
                </c:pt>
                <c:pt idx="552">
                  <c:v>5.0692449175581073E-3</c:v>
                </c:pt>
                <c:pt idx="553">
                  <c:v>4.9094367431465787E-3</c:v>
                </c:pt>
                <c:pt idx="554">
                  <c:v>4.7539959260046848E-3</c:v>
                </c:pt>
                <c:pt idx="555">
                  <c:v>4.6028273413431077E-3</c:v>
                </c:pt>
                <c:pt idx="556">
                  <c:v>4.4558371037444278E-3</c:v>
                </c:pt>
                <c:pt idx="557">
                  <c:v>4.3129325798734333E-3</c:v>
                </c:pt>
                <c:pt idx="558">
                  <c:v>4.1740223999136338E-3</c:v>
                </c:pt>
                <c:pt idx="559">
                  <c:v>4.0390164677611331E-3</c:v>
                </c:pt>
                <c:pt idx="560">
                  <c:v>3.907825970007237E-3</c:v>
                </c:pt>
                <c:pt idx="561">
                  <c:v>3.780363383741311E-3</c:v>
                </c:pt>
                <c:pt idx="562">
                  <c:v>3.6565424832055802E-3</c:v>
                </c:pt>
                <c:pt idx="563">
                  <c:v>3.5362783453335559E-3</c:v>
                </c:pt>
                <c:pt idx="564">
                  <c:v>3.419487354203984E-3</c:v>
                </c:pt>
                <c:pt idx="565">
                  <c:v>3.306087204442035E-3</c:v>
                </c:pt>
                <c:pt idx="566">
                  <c:v>3.195996903599581E-3</c:v>
                </c:pt>
                <c:pt idx="567">
                  <c:v>3.0891367735462754E-3</c:v>
                </c:pt>
                <c:pt idx="568">
                  <c:v>2.9854284509030983E-3</c:v>
                </c:pt>
                <c:pt idx="569">
                  <c:v>2.8847948865498513E-3</c:v>
                </c:pt>
                <c:pt idx="570">
                  <c:v>2.7871603442380273E-3</c:v>
                </c:pt>
                <c:pt idx="571">
                  <c:v>2.6924503983401927E-3</c:v>
                </c:pt>
                <c:pt idx="572">
                  <c:v>2.6005919307668631E-3</c:v>
                </c:pt>
                <c:pt idx="573">
                  <c:v>2.5115131270816798E-3</c:v>
                </c:pt>
                <c:pt idx="574">
                  <c:v>2.4251434718452385E-3</c:v>
                </c:pt>
                <c:pt idx="575">
                  <c:v>2.3414137432178636E-3</c:v>
                </c:pt>
                <c:pt idx="576">
                  <c:v>2.2602560068511511E-3</c:v>
                </c:pt>
                <c:pt idx="577">
                  <c:v>2.1816036090978089E-3</c:v>
                </c:pt>
                <c:pt idx="578">
                  <c:v>2.105391169569005E-3</c:v>
                </c:pt>
                <c:pt idx="579">
                  <c:v>2.0315545730679985E-3</c:v>
                </c:pt>
                <c:pt idx="580">
                  <c:v>1.9600309609284832E-3</c:v>
                </c:pt>
                <c:pt idx="581">
                  <c:v>1.890758721785633E-3</c:v>
                </c:pt>
                <c:pt idx="582">
                  <c:v>1.8236774818073827E-3</c:v>
                </c:pt>
                <c:pt idx="583">
                  <c:v>1.7587280944131453E-3</c:v>
                </c:pt>
                <c:pt idx="584">
                  <c:v>1.6958526295065232E-3</c:v>
                </c:pt>
                <c:pt idx="585">
                  <c:v>1.6349943622482863E-3</c:v>
                </c:pt>
                <c:pt idx="586">
                  <c:v>1.5760977613952728E-3</c:v>
                </c:pt>
                <c:pt idx="587">
                  <c:v>1.5191084772304374E-3</c:v>
                </c:pt>
                <c:pt idx="588">
                  <c:v>1.4639733291087465E-3</c:v>
                </c:pt>
                <c:pt idx="589">
                  <c:v>1.4106402926430965E-3</c:v>
                </c:pt>
                <c:pt idx="590">
                  <c:v>1.3590584865539291E-3</c:v>
                </c:pt>
                <c:pt idx="591">
                  <c:v>1.3091781592056493E-3</c:v>
                </c:pt>
                <c:pt idx="592">
                  <c:v>1.2609506748524843E-3</c:v>
                </c:pt>
                <c:pt idx="593">
                  <c:v>1.2143284996157782E-3</c:v>
                </c:pt>
                <c:pt idx="594">
                  <c:v>1.1692651872142552E-3</c:v>
                </c:pt>
                <c:pt idx="595">
                  <c:v>1.1257153644682043E-3</c:v>
                </c:pt>
                <c:pt idx="596">
                  <c:v>1.0836347165979663E-3</c:v>
                </c:pt>
                <c:pt idx="597">
                  <c:v>1.0429799723365727E-3</c:v>
                </c:pt>
                <c:pt idx="598">
                  <c:v>1.0037088888758211E-3</c:v>
                </c:pt>
                <c:pt idx="599">
                  <c:v>9.6578023666450523E-4</c:v>
                </c:pt>
                <c:pt idx="600">
                  <c:v>9.2915378407696714E-4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4E-4468-A917-04CEEA8764E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f(y_M)</c:v>
                </c:pt>
              </c:strCache>
            </c:strRef>
          </c:tx>
          <c:spPr>
            <a:ln>
              <a:solidFill>
                <a:srgbClr val="32F828"/>
              </a:solidFill>
            </a:ln>
          </c:spPr>
          <c:marker>
            <c:symbol val="none"/>
          </c:marker>
          <c:xVal>
            <c:numRef>
              <c:f>Sheet1!$A$2:$A$604</c:f>
              <c:numCache>
                <c:formatCode>General</c:formatCode>
                <c:ptCount val="603"/>
                <c:pt idx="0">
                  <c:v>15</c:v>
                </c:pt>
                <c:pt idx="1">
                  <c:v>15.025</c:v>
                </c:pt>
                <c:pt idx="2">
                  <c:v>15.05</c:v>
                </c:pt>
                <c:pt idx="3">
                  <c:v>15.075000000000001</c:v>
                </c:pt>
                <c:pt idx="4">
                  <c:v>15.100000000000001</c:v>
                </c:pt>
                <c:pt idx="5">
                  <c:v>15.125000000000002</c:v>
                </c:pt>
                <c:pt idx="6">
                  <c:v>15.150000000000002</c:v>
                </c:pt>
                <c:pt idx="7">
                  <c:v>15.175000000000002</c:v>
                </c:pt>
                <c:pt idx="8">
                  <c:v>15.200000000000003</c:v>
                </c:pt>
                <c:pt idx="9">
                  <c:v>15.225000000000003</c:v>
                </c:pt>
                <c:pt idx="10">
                  <c:v>15.250000000000004</c:v>
                </c:pt>
                <c:pt idx="11">
                  <c:v>15.275000000000004</c:v>
                </c:pt>
                <c:pt idx="12">
                  <c:v>15.300000000000004</c:v>
                </c:pt>
                <c:pt idx="13">
                  <c:v>15.325000000000005</c:v>
                </c:pt>
                <c:pt idx="14">
                  <c:v>15.350000000000005</c:v>
                </c:pt>
                <c:pt idx="15">
                  <c:v>15.375000000000005</c:v>
                </c:pt>
                <c:pt idx="16">
                  <c:v>15.400000000000006</c:v>
                </c:pt>
                <c:pt idx="17">
                  <c:v>15.425000000000006</c:v>
                </c:pt>
                <c:pt idx="18">
                  <c:v>15.450000000000006</c:v>
                </c:pt>
                <c:pt idx="19">
                  <c:v>15.475000000000007</c:v>
                </c:pt>
                <c:pt idx="20">
                  <c:v>15.500000000000007</c:v>
                </c:pt>
                <c:pt idx="21">
                  <c:v>15.525000000000007</c:v>
                </c:pt>
                <c:pt idx="22">
                  <c:v>15.550000000000008</c:v>
                </c:pt>
                <c:pt idx="23">
                  <c:v>15.575000000000008</c:v>
                </c:pt>
                <c:pt idx="24">
                  <c:v>15.600000000000009</c:v>
                </c:pt>
                <c:pt idx="25">
                  <c:v>15.625000000000009</c:v>
                </c:pt>
                <c:pt idx="26">
                  <c:v>15.650000000000009</c:v>
                </c:pt>
                <c:pt idx="27">
                  <c:v>15.67500000000001</c:v>
                </c:pt>
                <c:pt idx="28">
                  <c:v>15.70000000000001</c:v>
                </c:pt>
                <c:pt idx="29">
                  <c:v>15.72500000000001</c:v>
                </c:pt>
                <c:pt idx="30">
                  <c:v>15.750000000000011</c:v>
                </c:pt>
                <c:pt idx="31">
                  <c:v>15.775000000000011</c:v>
                </c:pt>
                <c:pt idx="32">
                  <c:v>15.800000000000011</c:v>
                </c:pt>
                <c:pt idx="33">
                  <c:v>15.825000000000012</c:v>
                </c:pt>
                <c:pt idx="34">
                  <c:v>15.850000000000012</c:v>
                </c:pt>
                <c:pt idx="35">
                  <c:v>15.875000000000012</c:v>
                </c:pt>
                <c:pt idx="36">
                  <c:v>15.900000000000013</c:v>
                </c:pt>
                <c:pt idx="37">
                  <c:v>15.925000000000013</c:v>
                </c:pt>
                <c:pt idx="38">
                  <c:v>15.950000000000014</c:v>
                </c:pt>
                <c:pt idx="39">
                  <c:v>15.975000000000014</c:v>
                </c:pt>
                <c:pt idx="40">
                  <c:v>16.000000000000014</c:v>
                </c:pt>
                <c:pt idx="41">
                  <c:v>16.025000000000013</c:v>
                </c:pt>
                <c:pt idx="42">
                  <c:v>16.050000000000011</c:v>
                </c:pt>
                <c:pt idx="43">
                  <c:v>16.07500000000001</c:v>
                </c:pt>
                <c:pt idx="44">
                  <c:v>16.100000000000009</c:v>
                </c:pt>
                <c:pt idx="45">
                  <c:v>16.125000000000007</c:v>
                </c:pt>
                <c:pt idx="46">
                  <c:v>16.150000000000006</c:v>
                </c:pt>
                <c:pt idx="47">
                  <c:v>16.175000000000004</c:v>
                </c:pt>
                <c:pt idx="48">
                  <c:v>16.200000000000003</c:v>
                </c:pt>
                <c:pt idx="49">
                  <c:v>16.225000000000001</c:v>
                </c:pt>
                <c:pt idx="50">
                  <c:v>16.25</c:v>
                </c:pt>
                <c:pt idx="51">
                  <c:v>16.274999999999999</c:v>
                </c:pt>
                <c:pt idx="52">
                  <c:v>16.299999999999997</c:v>
                </c:pt>
                <c:pt idx="53">
                  <c:v>16.324999999999996</c:v>
                </c:pt>
                <c:pt idx="54">
                  <c:v>16.349999999999994</c:v>
                </c:pt>
                <c:pt idx="55">
                  <c:v>16.374999999999993</c:v>
                </c:pt>
                <c:pt idx="56">
                  <c:v>16.399999999999991</c:v>
                </c:pt>
                <c:pt idx="57">
                  <c:v>16.42499999999999</c:v>
                </c:pt>
                <c:pt idx="58">
                  <c:v>16.449999999999989</c:v>
                </c:pt>
                <c:pt idx="59">
                  <c:v>16.474999999999987</c:v>
                </c:pt>
                <c:pt idx="60">
                  <c:v>16.499999999999986</c:v>
                </c:pt>
                <c:pt idx="61">
                  <c:v>16.524999999999984</c:v>
                </c:pt>
                <c:pt idx="62">
                  <c:v>16.549999999999983</c:v>
                </c:pt>
                <c:pt idx="63">
                  <c:v>16.574999999999982</c:v>
                </c:pt>
                <c:pt idx="64">
                  <c:v>16.59999999999998</c:v>
                </c:pt>
                <c:pt idx="65">
                  <c:v>16.624999999999979</c:v>
                </c:pt>
                <c:pt idx="66">
                  <c:v>16.649999999999977</c:v>
                </c:pt>
                <c:pt idx="67">
                  <c:v>16.674999999999976</c:v>
                </c:pt>
                <c:pt idx="68">
                  <c:v>16.699999999999974</c:v>
                </c:pt>
                <c:pt idx="69">
                  <c:v>16.724999999999973</c:v>
                </c:pt>
                <c:pt idx="70">
                  <c:v>16.749999999999972</c:v>
                </c:pt>
                <c:pt idx="71">
                  <c:v>16.77499999999997</c:v>
                </c:pt>
                <c:pt idx="72">
                  <c:v>16.799999999999969</c:v>
                </c:pt>
                <c:pt idx="73">
                  <c:v>16.824999999999967</c:v>
                </c:pt>
                <c:pt idx="74">
                  <c:v>16.849999999999966</c:v>
                </c:pt>
                <c:pt idx="75">
                  <c:v>16.874999999999964</c:v>
                </c:pt>
                <c:pt idx="76">
                  <c:v>16.899999999999963</c:v>
                </c:pt>
                <c:pt idx="77">
                  <c:v>16.924999999999962</c:v>
                </c:pt>
                <c:pt idx="78">
                  <c:v>16.94999999999996</c:v>
                </c:pt>
                <c:pt idx="79">
                  <c:v>16.974999999999959</c:v>
                </c:pt>
                <c:pt idx="80">
                  <c:v>16.999999999999957</c:v>
                </c:pt>
                <c:pt idx="81">
                  <c:v>17.024999999999956</c:v>
                </c:pt>
                <c:pt idx="82">
                  <c:v>17.049999999999955</c:v>
                </c:pt>
                <c:pt idx="83">
                  <c:v>17.074999999999953</c:v>
                </c:pt>
                <c:pt idx="84">
                  <c:v>17.099999999999952</c:v>
                </c:pt>
                <c:pt idx="85">
                  <c:v>17.12499999999995</c:v>
                </c:pt>
                <c:pt idx="86">
                  <c:v>17.149999999999949</c:v>
                </c:pt>
                <c:pt idx="87">
                  <c:v>17.174999999999947</c:v>
                </c:pt>
                <c:pt idx="88">
                  <c:v>17.199999999999946</c:v>
                </c:pt>
                <c:pt idx="89">
                  <c:v>17.224999999999945</c:v>
                </c:pt>
                <c:pt idx="90">
                  <c:v>17.249999999999943</c:v>
                </c:pt>
                <c:pt idx="91">
                  <c:v>17.274999999999942</c:v>
                </c:pt>
                <c:pt idx="92">
                  <c:v>17.29999999999994</c:v>
                </c:pt>
                <c:pt idx="93">
                  <c:v>17.324999999999939</c:v>
                </c:pt>
                <c:pt idx="94">
                  <c:v>17.349999999999937</c:v>
                </c:pt>
                <c:pt idx="95">
                  <c:v>17.374999999999936</c:v>
                </c:pt>
                <c:pt idx="96">
                  <c:v>17.399999999999935</c:v>
                </c:pt>
                <c:pt idx="97">
                  <c:v>17.424999999999933</c:v>
                </c:pt>
                <c:pt idx="98">
                  <c:v>17.449999999999932</c:v>
                </c:pt>
                <c:pt idx="99">
                  <c:v>17.47499999999993</c:v>
                </c:pt>
                <c:pt idx="100">
                  <c:v>17.499999999999929</c:v>
                </c:pt>
                <c:pt idx="101">
                  <c:v>17.524999999999928</c:v>
                </c:pt>
                <c:pt idx="102">
                  <c:v>17.549999999999926</c:v>
                </c:pt>
                <c:pt idx="103">
                  <c:v>17.574999999999925</c:v>
                </c:pt>
                <c:pt idx="104">
                  <c:v>17.599999999999923</c:v>
                </c:pt>
                <c:pt idx="105">
                  <c:v>17.624999999999922</c:v>
                </c:pt>
                <c:pt idx="106">
                  <c:v>17.64999999999992</c:v>
                </c:pt>
                <c:pt idx="107">
                  <c:v>17.674999999999919</c:v>
                </c:pt>
                <c:pt idx="108">
                  <c:v>17.699999999999918</c:v>
                </c:pt>
                <c:pt idx="109">
                  <c:v>17.724999999999916</c:v>
                </c:pt>
                <c:pt idx="110">
                  <c:v>17.749999999999915</c:v>
                </c:pt>
                <c:pt idx="111">
                  <c:v>17.774999999999913</c:v>
                </c:pt>
                <c:pt idx="112">
                  <c:v>17.799999999999912</c:v>
                </c:pt>
                <c:pt idx="113">
                  <c:v>17.82499999999991</c:v>
                </c:pt>
                <c:pt idx="114">
                  <c:v>17.849999999999909</c:v>
                </c:pt>
                <c:pt idx="115">
                  <c:v>17.874999999999908</c:v>
                </c:pt>
                <c:pt idx="116">
                  <c:v>17.899999999999906</c:v>
                </c:pt>
                <c:pt idx="117">
                  <c:v>17.924999999999905</c:v>
                </c:pt>
                <c:pt idx="118">
                  <c:v>17.949999999999903</c:v>
                </c:pt>
                <c:pt idx="119">
                  <c:v>17.974999999999902</c:v>
                </c:pt>
                <c:pt idx="120">
                  <c:v>17.999999999999901</c:v>
                </c:pt>
                <c:pt idx="121">
                  <c:v>18.024999999999899</c:v>
                </c:pt>
                <c:pt idx="122">
                  <c:v>18.049999999999898</c:v>
                </c:pt>
                <c:pt idx="123">
                  <c:v>18.074999999999896</c:v>
                </c:pt>
                <c:pt idx="124">
                  <c:v>18.099999999999895</c:v>
                </c:pt>
                <c:pt idx="125">
                  <c:v>18.124999999999893</c:v>
                </c:pt>
                <c:pt idx="126">
                  <c:v>18.149999999999892</c:v>
                </c:pt>
                <c:pt idx="127">
                  <c:v>18.174999999999891</c:v>
                </c:pt>
                <c:pt idx="128">
                  <c:v>18.199999999999889</c:v>
                </c:pt>
                <c:pt idx="129">
                  <c:v>18.224999999999888</c:v>
                </c:pt>
                <c:pt idx="130">
                  <c:v>18.249999999999886</c:v>
                </c:pt>
                <c:pt idx="131">
                  <c:v>18.274999999999885</c:v>
                </c:pt>
                <c:pt idx="132">
                  <c:v>18.299999999999883</c:v>
                </c:pt>
                <c:pt idx="133">
                  <c:v>18.324999999999882</c:v>
                </c:pt>
                <c:pt idx="134">
                  <c:v>18.349999999999881</c:v>
                </c:pt>
                <c:pt idx="135">
                  <c:v>18.374999999999879</c:v>
                </c:pt>
                <c:pt idx="136">
                  <c:v>18.399999999999878</c:v>
                </c:pt>
                <c:pt idx="137">
                  <c:v>18.424999999999876</c:v>
                </c:pt>
                <c:pt idx="138">
                  <c:v>18.449999999999875</c:v>
                </c:pt>
                <c:pt idx="139">
                  <c:v>18.474999999999874</c:v>
                </c:pt>
                <c:pt idx="140">
                  <c:v>18.499999999999872</c:v>
                </c:pt>
                <c:pt idx="141">
                  <c:v>18.524999999999871</c:v>
                </c:pt>
                <c:pt idx="142">
                  <c:v>18.549999999999869</c:v>
                </c:pt>
                <c:pt idx="143">
                  <c:v>18.574999999999868</c:v>
                </c:pt>
                <c:pt idx="144">
                  <c:v>18.599999999999866</c:v>
                </c:pt>
                <c:pt idx="145">
                  <c:v>18.624999999999865</c:v>
                </c:pt>
                <c:pt idx="146">
                  <c:v>18.649999999999864</c:v>
                </c:pt>
                <c:pt idx="147">
                  <c:v>18.674999999999862</c:v>
                </c:pt>
                <c:pt idx="148">
                  <c:v>18.699999999999861</c:v>
                </c:pt>
                <c:pt idx="149">
                  <c:v>18.724999999999859</c:v>
                </c:pt>
                <c:pt idx="150">
                  <c:v>18.749999999999858</c:v>
                </c:pt>
                <c:pt idx="151">
                  <c:v>18.774999999999856</c:v>
                </c:pt>
                <c:pt idx="152">
                  <c:v>18.799999999999855</c:v>
                </c:pt>
                <c:pt idx="153">
                  <c:v>18.824999999999854</c:v>
                </c:pt>
                <c:pt idx="154">
                  <c:v>18.849999999999852</c:v>
                </c:pt>
                <c:pt idx="155">
                  <c:v>18.874999999999851</c:v>
                </c:pt>
                <c:pt idx="156">
                  <c:v>18.899999999999849</c:v>
                </c:pt>
                <c:pt idx="157">
                  <c:v>18.924999999999848</c:v>
                </c:pt>
                <c:pt idx="158">
                  <c:v>18.949999999999847</c:v>
                </c:pt>
                <c:pt idx="159">
                  <c:v>18.974999999999845</c:v>
                </c:pt>
                <c:pt idx="160">
                  <c:v>18.999999999999844</c:v>
                </c:pt>
                <c:pt idx="161">
                  <c:v>19.024999999999842</c:v>
                </c:pt>
                <c:pt idx="162">
                  <c:v>19.049999999999841</c:v>
                </c:pt>
                <c:pt idx="163">
                  <c:v>19.074999999999839</c:v>
                </c:pt>
                <c:pt idx="164">
                  <c:v>19.099999999999838</c:v>
                </c:pt>
                <c:pt idx="165">
                  <c:v>19.124999999999837</c:v>
                </c:pt>
                <c:pt idx="166">
                  <c:v>19.149999999999835</c:v>
                </c:pt>
                <c:pt idx="167">
                  <c:v>19.174999999999834</c:v>
                </c:pt>
                <c:pt idx="168">
                  <c:v>19.199999999999832</c:v>
                </c:pt>
                <c:pt idx="169">
                  <c:v>19.224999999999831</c:v>
                </c:pt>
                <c:pt idx="170">
                  <c:v>19.249999999999829</c:v>
                </c:pt>
                <c:pt idx="171">
                  <c:v>19.274999999999828</c:v>
                </c:pt>
                <c:pt idx="172">
                  <c:v>19.299999999999827</c:v>
                </c:pt>
                <c:pt idx="173">
                  <c:v>19.324999999999825</c:v>
                </c:pt>
                <c:pt idx="174">
                  <c:v>19.349999999999824</c:v>
                </c:pt>
                <c:pt idx="175">
                  <c:v>19.374999999999822</c:v>
                </c:pt>
                <c:pt idx="176">
                  <c:v>19.399999999999821</c:v>
                </c:pt>
                <c:pt idx="177">
                  <c:v>19.42499999999982</c:v>
                </c:pt>
                <c:pt idx="178">
                  <c:v>19.449999999999818</c:v>
                </c:pt>
                <c:pt idx="179">
                  <c:v>19.474999999999817</c:v>
                </c:pt>
                <c:pt idx="180">
                  <c:v>19.499999999999815</c:v>
                </c:pt>
                <c:pt idx="181">
                  <c:v>19.524999999999814</c:v>
                </c:pt>
                <c:pt idx="182">
                  <c:v>19.549999999999812</c:v>
                </c:pt>
                <c:pt idx="183">
                  <c:v>19.574999999999811</c:v>
                </c:pt>
                <c:pt idx="184">
                  <c:v>19.59999999999981</c:v>
                </c:pt>
                <c:pt idx="185">
                  <c:v>19.624999999999808</c:v>
                </c:pt>
                <c:pt idx="186">
                  <c:v>19.649999999999807</c:v>
                </c:pt>
                <c:pt idx="187">
                  <c:v>19.674999999999805</c:v>
                </c:pt>
                <c:pt idx="188">
                  <c:v>19.699999999999804</c:v>
                </c:pt>
                <c:pt idx="189">
                  <c:v>19.724999999999802</c:v>
                </c:pt>
                <c:pt idx="190">
                  <c:v>19.749999999999801</c:v>
                </c:pt>
                <c:pt idx="191">
                  <c:v>19.7749999999998</c:v>
                </c:pt>
                <c:pt idx="192">
                  <c:v>19.799999999999798</c:v>
                </c:pt>
                <c:pt idx="193">
                  <c:v>19.824999999999797</c:v>
                </c:pt>
                <c:pt idx="194">
                  <c:v>19.849999999999795</c:v>
                </c:pt>
                <c:pt idx="195">
                  <c:v>19.874999999999794</c:v>
                </c:pt>
                <c:pt idx="196">
                  <c:v>19.899999999999793</c:v>
                </c:pt>
                <c:pt idx="197">
                  <c:v>19.924999999999791</c:v>
                </c:pt>
                <c:pt idx="198">
                  <c:v>19.94999999999979</c:v>
                </c:pt>
                <c:pt idx="199">
                  <c:v>19.974999999999788</c:v>
                </c:pt>
                <c:pt idx="200">
                  <c:v>19.999999999999787</c:v>
                </c:pt>
                <c:pt idx="201">
                  <c:v>20.024999999999785</c:v>
                </c:pt>
                <c:pt idx="202">
                  <c:v>20.049999999999784</c:v>
                </c:pt>
                <c:pt idx="203">
                  <c:v>20.074999999999783</c:v>
                </c:pt>
                <c:pt idx="204">
                  <c:v>20.099999999999781</c:v>
                </c:pt>
                <c:pt idx="205">
                  <c:v>20.12499999999978</c:v>
                </c:pt>
                <c:pt idx="206">
                  <c:v>20.149999999999778</c:v>
                </c:pt>
                <c:pt idx="207">
                  <c:v>20.174999999999777</c:v>
                </c:pt>
                <c:pt idx="208">
                  <c:v>20.199999999999775</c:v>
                </c:pt>
                <c:pt idx="209">
                  <c:v>20.224999999999774</c:v>
                </c:pt>
                <c:pt idx="210">
                  <c:v>20.249999999999773</c:v>
                </c:pt>
                <c:pt idx="211">
                  <c:v>20.274999999999771</c:v>
                </c:pt>
                <c:pt idx="212">
                  <c:v>20.29999999999977</c:v>
                </c:pt>
                <c:pt idx="213">
                  <c:v>20.324999999999768</c:v>
                </c:pt>
                <c:pt idx="214">
                  <c:v>20.349999999999767</c:v>
                </c:pt>
                <c:pt idx="215">
                  <c:v>20.374999999999766</c:v>
                </c:pt>
                <c:pt idx="216">
                  <c:v>20.399999999999764</c:v>
                </c:pt>
                <c:pt idx="217">
                  <c:v>20.424999999999763</c:v>
                </c:pt>
                <c:pt idx="218">
                  <c:v>20.449999999999761</c:v>
                </c:pt>
                <c:pt idx="219">
                  <c:v>20.47499999999976</c:v>
                </c:pt>
                <c:pt idx="220">
                  <c:v>20.499999999999758</c:v>
                </c:pt>
                <c:pt idx="221">
                  <c:v>20.524999999999757</c:v>
                </c:pt>
                <c:pt idx="222">
                  <c:v>20.549999999999756</c:v>
                </c:pt>
                <c:pt idx="223">
                  <c:v>20.574999999999754</c:v>
                </c:pt>
                <c:pt idx="224">
                  <c:v>20.599999999999753</c:v>
                </c:pt>
                <c:pt idx="225">
                  <c:v>20.624999999999751</c:v>
                </c:pt>
                <c:pt idx="226">
                  <c:v>20.64999999999975</c:v>
                </c:pt>
                <c:pt idx="227">
                  <c:v>20.674999999999748</c:v>
                </c:pt>
                <c:pt idx="228">
                  <c:v>20.699999999999747</c:v>
                </c:pt>
                <c:pt idx="229">
                  <c:v>20.724999999999746</c:v>
                </c:pt>
                <c:pt idx="230">
                  <c:v>20.749999999999744</c:v>
                </c:pt>
                <c:pt idx="231">
                  <c:v>20.774999999999743</c:v>
                </c:pt>
                <c:pt idx="232">
                  <c:v>20.799999999999741</c:v>
                </c:pt>
                <c:pt idx="233">
                  <c:v>20.82499999999974</c:v>
                </c:pt>
                <c:pt idx="234">
                  <c:v>20.849999999999739</c:v>
                </c:pt>
                <c:pt idx="235">
                  <c:v>20.874999999999737</c:v>
                </c:pt>
                <c:pt idx="236">
                  <c:v>20.899999999999736</c:v>
                </c:pt>
                <c:pt idx="237">
                  <c:v>20.924999999999734</c:v>
                </c:pt>
                <c:pt idx="238">
                  <c:v>20.949999999999733</c:v>
                </c:pt>
                <c:pt idx="239">
                  <c:v>20.974999999999731</c:v>
                </c:pt>
                <c:pt idx="240">
                  <c:v>20.99999999999973</c:v>
                </c:pt>
                <c:pt idx="241">
                  <c:v>21.024999999999729</c:v>
                </c:pt>
                <c:pt idx="242">
                  <c:v>21.049999999999727</c:v>
                </c:pt>
                <c:pt idx="243">
                  <c:v>21.074999999999726</c:v>
                </c:pt>
                <c:pt idx="244">
                  <c:v>21.099999999999724</c:v>
                </c:pt>
                <c:pt idx="245">
                  <c:v>21.124999999999723</c:v>
                </c:pt>
                <c:pt idx="246">
                  <c:v>21.149999999999721</c:v>
                </c:pt>
                <c:pt idx="247">
                  <c:v>21.17499999999972</c:v>
                </c:pt>
                <c:pt idx="248">
                  <c:v>21.199999999999719</c:v>
                </c:pt>
                <c:pt idx="249">
                  <c:v>21.224999999999717</c:v>
                </c:pt>
                <c:pt idx="250">
                  <c:v>21.249999999999716</c:v>
                </c:pt>
                <c:pt idx="251">
                  <c:v>21.274999999999714</c:v>
                </c:pt>
                <c:pt idx="252">
                  <c:v>21.299999999999713</c:v>
                </c:pt>
                <c:pt idx="253">
                  <c:v>21.324999999999712</c:v>
                </c:pt>
                <c:pt idx="254">
                  <c:v>21.34999999999971</c:v>
                </c:pt>
                <c:pt idx="255">
                  <c:v>21.374999999999709</c:v>
                </c:pt>
                <c:pt idx="256">
                  <c:v>21.399999999999707</c:v>
                </c:pt>
                <c:pt idx="257">
                  <c:v>21.424999999999706</c:v>
                </c:pt>
                <c:pt idx="258">
                  <c:v>21.449999999999704</c:v>
                </c:pt>
                <c:pt idx="259">
                  <c:v>21.474999999999703</c:v>
                </c:pt>
                <c:pt idx="260">
                  <c:v>21.499999999999702</c:v>
                </c:pt>
                <c:pt idx="261">
                  <c:v>21.5249999999997</c:v>
                </c:pt>
                <c:pt idx="262">
                  <c:v>21.549999999999699</c:v>
                </c:pt>
                <c:pt idx="263">
                  <c:v>21.574999999999697</c:v>
                </c:pt>
                <c:pt idx="264">
                  <c:v>21.599999999999696</c:v>
                </c:pt>
                <c:pt idx="265">
                  <c:v>21.624999999999694</c:v>
                </c:pt>
                <c:pt idx="266">
                  <c:v>21.649999999999693</c:v>
                </c:pt>
                <c:pt idx="267">
                  <c:v>21.674999999999692</c:v>
                </c:pt>
                <c:pt idx="268">
                  <c:v>21.69999999999969</c:v>
                </c:pt>
                <c:pt idx="269">
                  <c:v>21.724999999999689</c:v>
                </c:pt>
                <c:pt idx="270">
                  <c:v>21.749999999999687</c:v>
                </c:pt>
                <c:pt idx="271">
                  <c:v>21.774999999999686</c:v>
                </c:pt>
                <c:pt idx="272">
                  <c:v>21.799999999999685</c:v>
                </c:pt>
                <c:pt idx="273">
                  <c:v>21.824999999999683</c:v>
                </c:pt>
                <c:pt idx="274">
                  <c:v>21.849999999999682</c:v>
                </c:pt>
                <c:pt idx="275">
                  <c:v>21.87499999999968</c:v>
                </c:pt>
                <c:pt idx="276">
                  <c:v>21.899999999999679</c:v>
                </c:pt>
                <c:pt idx="277">
                  <c:v>21.924999999999677</c:v>
                </c:pt>
                <c:pt idx="278">
                  <c:v>21.949999999999676</c:v>
                </c:pt>
                <c:pt idx="279">
                  <c:v>21.974999999999675</c:v>
                </c:pt>
                <c:pt idx="280">
                  <c:v>21.999999999999673</c:v>
                </c:pt>
                <c:pt idx="281">
                  <c:v>22.024999999999672</c:v>
                </c:pt>
                <c:pt idx="282">
                  <c:v>22.04999999999967</c:v>
                </c:pt>
                <c:pt idx="283">
                  <c:v>22.074999999999669</c:v>
                </c:pt>
                <c:pt idx="284">
                  <c:v>22.099999999999667</c:v>
                </c:pt>
                <c:pt idx="285">
                  <c:v>22.124999999999666</c:v>
                </c:pt>
                <c:pt idx="286">
                  <c:v>22.149999999999665</c:v>
                </c:pt>
                <c:pt idx="287">
                  <c:v>22.174999999999663</c:v>
                </c:pt>
                <c:pt idx="288">
                  <c:v>22.199999999999662</c:v>
                </c:pt>
                <c:pt idx="289">
                  <c:v>22.22499999999966</c:v>
                </c:pt>
                <c:pt idx="290">
                  <c:v>22.249999999999659</c:v>
                </c:pt>
                <c:pt idx="291">
                  <c:v>22.274999999999658</c:v>
                </c:pt>
                <c:pt idx="292">
                  <c:v>22.299999999999656</c:v>
                </c:pt>
                <c:pt idx="293">
                  <c:v>22.324999999999655</c:v>
                </c:pt>
                <c:pt idx="294">
                  <c:v>22.349999999999653</c:v>
                </c:pt>
                <c:pt idx="295">
                  <c:v>22.374999999999652</c:v>
                </c:pt>
                <c:pt idx="296">
                  <c:v>22.39999999999965</c:v>
                </c:pt>
                <c:pt idx="297">
                  <c:v>22.424999999999649</c:v>
                </c:pt>
                <c:pt idx="298">
                  <c:v>22.449999999999648</c:v>
                </c:pt>
                <c:pt idx="299">
                  <c:v>22.474999999999646</c:v>
                </c:pt>
                <c:pt idx="300">
                  <c:v>22.499999999999645</c:v>
                </c:pt>
                <c:pt idx="301">
                  <c:v>22.524999999999643</c:v>
                </c:pt>
                <c:pt idx="302">
                  <c:v>22.549999999999642</c:v>
                </c:pt>
                <c:pt idx="303">
                  <c:v>22.57499999999964</c:v>
                </c:pt>
                <c:pt idx="304">
                  <c:v>22.599999999999639</c:v>
                </c:pt>
                <c:pt idx="305">
                  <c:v>22.624999999999638</c:v>
                </c:pt>
                <c:pt idx="306">
                  <c:v>22.649999999999636</c:v>
                </c:pt>
                <c:pt idx="307">
                  <c:v>22.674999999999635</c:v>
                </c:pt>
                <c:pt idx="308">
                  <c:v>22.699999999999633</c:v>
                </c:pt>
                <c:pt idx="309">
                  <c:v>22.724999999999632</c:v>
                </c:pt>
                <c:pt idx="310">
                  <c:v>22.749999999999631</c:v>
                </c:pt>
                <c:pt idx="311">
                  <c:v>22.774999999999629</c:v>
                </c:pt>
                <c:pt idx="312">
                  <c:v>22.799999999999628</c:v>
                </c:pt>
                <c:pt idx="313">
                  <c:v>22.824999999999626</c:v>
                </c:pt>
                <c:pt idx="314">
                  <c:v>22.849999999999625</c:v>
                </c:pt>
                <c:pt idx="315">
                  <c:v>22.874999999999623</c:v>
                </c:pt>
                <c:pt idx="316">
                  <c:v>22.899999999999622</c:v>
                </c:pt>
                <c:pt idx="317">
                  <c:v>22.924999999999621</c:v>
                </c:pt>
                <c:pt idx="318">
                  <c:v>22.949999999999619</c:v>
                </c:pt>
                <c:pt idx="319">
                  <c:v>22.974999999999618</c:v>
                </c:pt>
                <c:pt idx="320">
                  <c:v>22.999999999999616</c:v>
                </c:pt>
                <c:pt idx="321">
                  <c:v>23.024999999999615</c:v>
                </c:pt>
                <c:pt idx="322">
                  <c:v>23.049999999999613</c:v>
                </c:pt>
                <c:pt idx="323">
                  <c:v>23.074999999999612</c:v>
                </c:pt>
                <c:pt idx="324">
                  <c:v>23.099999999999611</c:v>
                </c:pt>
                <c:pt idx="325">
                  <c:v>23.124999999999609</c:v>
                </c:pt>
                <c:pt idx="326">
                  <c:v>23.149999999999608</c:v>
                </c:pt>
                <c:pt idx="327">
                  <c:v>23.174999999999606</c:v>
                </c:pt>
                <c:pt idx="328">
                  <c:v>23.199999999999605</c:v>
                </c:pt>
                <c:pt idx="329">
                  <c:v>23.224999999999604</c:v>
                </c:pt>
                <c:pt idx="330">
                  <c:v>23.249999999999602</c:v>
                </c:pt>
                <c:pt idx="331">
                  <c:v>23.274999999999601</c:v>
                </c:pt>
                <c:pt idx="332">
                  <c:v>23.299999999999599</c:v>
                </c:pt>
                <c:pt idx="333">
                  <c:v>23.324999999999598</c:v>
                </c:pt>
                <c:pt idx="334">
                  <c:v>23.349999999999596</c:v>
                </c:pt>
                <c:pt idx="335">
                  <c:v>23.374999999999595</c:v>
                </c:pt>
                <c:pt idx="336">
                  <c:v>23.399999999999594</c:v>
                </c:pt>
                <c:pt idx="337">
                  <c:v>23.424999999999592</c:v>
                </c:pt>
                <c:pt idx="338">
                  <c:v>23.449999999999591</c:v>
                </c:pt>
                <c:pt idx="339">
                  <c:v>23.474999999999589</c:v>
                </c:pt>
                <c:pt idx="340">
                  <c:v>23.499999999999588</c:v>
                </c:pt>
                <c:pt idx="341">
                  <c:v>23.524999999999586</c:v>
                </c:pt>
                <c:pt idx="342">
                  <c:v>23.549999999999585</c:v>
                </c:pt>
                <c:pt idx="343">
                  <c:v>23.574999999999584</c:v>
                </c:pt>
                <c:pt idx="344">
                  <c:v>23.599999999999582</c:v>
                </c:pt>
                <c:pt idx="345">
                  <c:v>23.624999999999581</c:v>
                </c:pt>
                <c:pt idx="346">
                  <c:v>23.649999999999579</c:v>
                </c:pt>
                <c:pt idx="347">
                  <c:v>23.674999999999578</c:v>
                </c:pt>
                <c:pt idx="348">
                  <c:v>23.699999999999577</c:v>
                </c:pt>
                <c:pt idx="349">
                  <c:v>23.724999999999575</c:v>
                </c:pt>
                <c:pt idx="350">
                  <c:v>23.749999999999574</c:v>
                </c:pt>
                <c:pt idx="351">
                  <c:v>23.774999999999572</c:v>
                </c:pt>
                <c:pt idx="352">
                  <c:v>23.799999999999571</c:v>
                </c:pt>
                <c:pt idx="353">
                  <c:v>23.824999999999569</c:v>
                </c:pt>
                <c:pt idx="354">
                  <c:v>23.849999999999568</c:v>
                </c:pt>
                <c:pt idx="355">
                  <c:v>23.874999999999567</c:v>
                </c:pt>
                <c:pt idx="356">
                  <c:v>23.899999999999565</c:v>
                </c:pt>
                <c:pt idx="357">
                  <c:v>23.924999999999564</c:v>
                </c:pt>
                <c:pt idx="358">
                  <c:v>23.949999999999562</c:v>
                </c:pt>
                <c:pt idx="359">
                  <c:v>23.974999999999561</c:v>
                </c:pt>
                <c:pt idx="360">
                  <c:v>23.999999999999559</c:v>
                </c:pt>
                <c:pt idx="361">
                  <c:v>24.024999999999558</c:v>
                </c:pt>
                <c:pt idx="362">
                  <c:v>24.049999999999557</c:v>
                </c:pt>
                <c:pt idx="363">
                  <c:v>24.074999999999555</c:v>
                </c:pt>
                <c:pt idx="364">
                  <c:v>24.099999999999554</c:v>
                </c:pt>
                <c:pt idx="365">
                  <c:v>24.124999999999552</c:v>
                </c:pt>
                <c:pt idx="366">
                  <c:v>24.149999999999551</c:v>
                </c:pt>
                <c:pt idx="367">
                  <c:v>24.17499999999955</c:v>
                </c:pt>
                <c:pt idx="368">
                  <c:v>24.199999999999548</c:v>
                </c:pt>
                <c:pt idx="369">
                  <c:v>24.224999999999547</c:v>
                </c:pt>
                <c:pt idx="370">
                  <c:v>24.249999999999545</c:v>
                </c:pt>
                <c:pt idx="371">
                  <c:v>24.274999999999544</c:v>
                </c:pt>
                <c:pt idx="372">
                  <c:v>24.299999999999542</c:v>
                </c:pt>
                <c:pt idx="373">
                  <c:v>24.324999999999541</c:v>
                </c:pt>
                <c:pt idx="374">
                  <c:v>24.34999999999954</c:v>
                </c:pt>
                <c:pt idx="375">
                  <c:v>24.374999999999538</c:v>
                </c:pt>
                <c:pt idx="376">
                  <c:v>24.399999999999537</c:v>
                </c:pt>
                <c:pt idx="377">
                  <c:v>24.424999999999535</c:v>
                </c:pt>
                <c:pt idx="378">
                  <c:v>24.449999999999534</c:v>
                </c:pt>
                <c:pt idx="379">
                  <c:v>24.474999999999532</c:v>
                </c:pt>
                <c:pt idx="380">
                  <c:v>24.499999999999531</c:v>
                </c:pt>
                <c:pt idx="381">
                  <c:v>24.52499999999953</c:v>
                </c:pt>
                <c:pt idx="382">
                  <c:v>24.549999999999528</c:v>
                </c:pt>
                <c:pt idx="383">
                  <c:v>24.574999999999527</c:v>
                </c:pt>
                <c:pt idx="384">
                  <c:v>24.599999999999525</c:v>
                </c:pt>
                <c:pt idx="385">
                  <c:v>24.624999999999524</c:v>
                </c:pt>
                <c:pt idx="386">
                  <c:v>24.649999999999523</c:v>
                </c:pt>
                <c:pt idx="387">
                  <c:v>24.674999999999521</c:v>
                </c:pt>
                <c:pt idx="388">
                  <c:v>24.69999999999952</c:v>
                </c:pt>
                <c:pt idx="389">
                  <c:v>24.724999999999518</c:v>
                </c:pt>
                <c:pt idx="390">
                  <c:v>24.749999999999517</c:v>
                </c:pt>
                <c:pt idx="391">
                  <c:v>24.774999999999515</c:v>
                </c:pt>
                <c:pt idx="392">
                  <c:v>24.799999999999514</c:v>
                </c:pt>
                <c:pt idx="393">
                  <c:v>24.824999999999513</c:v>
                </c:pt>
                <c:pt idx="394">
                  <c:v>24.849999999999511</c:v>
                </c:pt>
                <c:pt idx="395">
                  <c:v>24.87499999999951</c:v>
                </c:pt>
                <c:pt idx="396">
                  <c:v>24.899999999999508</c:v>
                </c:pt>
                <c:pt idx="397">
                  <c:v>24.924999999999507</c:v>
                </c:pt>
                <c:pt idx="398">
                  <c:v>24.949999999999505</c:v>
                </c:pt>
                <c:pt idx="399">
                  <c:v>24.974999999999504</c:v>
                </c:pt>
                <c:pt idx="400">
                  <c:v>24.999999999999503</c:v>
                </c:pt>
                <c:pt idx="401">
                  <c:v>25.024999999999501</c:v>
                </c:pt>
                <c:pt idx="402">
                  <c:v>25.0499999999995</c:v>
                </c:pt>
                <c:pt idx="403">
                  <c:v>25.074999999999498</c:v>
                </c:pt>
                <c:pt idx="404">
                  <c:v>25.099999999999497</c:v>
                </c:pt>
                <c:pt idx="405">
                  <c:v>25.124999999999496</c:v>
                </c:pt>
                <c:pt idx="406">
                  <c:v>25.149999999999494</c:v>
                </c:pt>
                <c:pt idx="407">
                  <c:v>25.174999999999493</c:v>
                </c:pt>
                <c:pt idx="408">
                  <c:v>25.199999999999491</c:v>
                </c:pt>
                <c:pt idx="409">
                  <c:v>25.22499999999949</c:v>
                </c:pt>
                <c:pt idx="410">
                  <c:v>25.249999999999488</c:v>
                </c:pt>
                <c:pt idx="411">
                  <c:v>25.274999999999487</c:v>
                </c:pt>
                <c:pt idx="412">
                  <c:v>25.299999999999486</c:v>
                </c:pt>
                <c:pt idx="413">
                  <c:v>25.324999999999484</c:v>
                </c:pt>
                <c:pt idx="414">
                  <c:v>25.349999999999483</c:v>
                </c:pt>
                <c:pt idx="415">
                  <c:v>25.374999999999481</c:v>
                </c:pt>
                <c:pt idx="416">
                  <c:v>25.39999999999948</c:v>
                </c:pt>
                <c:pt idx="417">
                  <c:v>25.424999999999478</c:v>
                </c:pt>
                <c:pt idx="418">
                  <c:v>25.449999999999477</c:v>
                </c:pt>
                <c:pt idx="419">
                  <c:v>25.474999999999476</c:v>
                </c:pt>
                <c:pt idx="420">
                  <c:v>25.499999999999474</c:v>
                </c:pt>
                <c:pt idx="421">
                  <c:v>25.524999999999473</c:v>
                </c:pt>
                <c:pt idx="422">
                  <c:v>25.549999999999471</c:v>
                </c:pt>
                <c:pt idx="423">
                  <c:v>25.57499999999947</c:v>
                </c:pt>
                <c:pt idx="424">
                  <c:v>25.599999999999469</c:v>
                </c:pt>
                <c:pt idx="425">
                  <c:v>25.624999999999467</c:v>
                </c:pt>
                <c:pt idx="426">
                  <c:v>25.649999999999466</c:v>
                </c:pt>
                <c:pt idx="427">
                  <c:v>25.674999999999464</c:v>
                </c:pt>
                <c:pt idx="428">
                  <c:v>25.699999999999463</c:v>
                </c:pt>
                <c:pt idx="429">
                  <c:v>25.724999999999461</c:v>
                </c:pt>
                <c:pt idx="430">
                  <c:v>25.74999999999946</c:v>
                </c:pt>
                <c:pt idx="431">
                  <c:v>25.774999999999459</c:v>
                </c:pt>
                <c:pt idx="432">
                  <c:v>25.799999999999457</c:v>
                </c:pt>
                <c:pt idx="433">
                  <c:v>25.824999999999456</c:v>
                </c:pt>
                <c:pt idx="434">
                  <c:v>25.849999999999454</c:v>
                </c:pt>
                <c:pt idx="435">
                  <c:v>25.874999999999453</c:v>
                </c:pt>
                <c:pt idx="436">
                  <c:v>25.899999999999451</c:v>
                </c:pt>
                <c:pt idx="437">
                  <c:v>25.92499999999945</c:v>
                </c:pt>
                <c:pt idx="438">
                  <c:v>25.949999999999449</c:v>
                </c:pt>
                <c:pt idx="439">
                  <c:v>25.974999999999447</c:v>
                </c:pt>
                <c:pt idx="440">
                  <c:v>25.999999999999446</c:v>
                </c:pt>
                <c:pt idx="441">
                  <c:v>26.024999999999444</c:v>
                </c:pt>
                <c:pt idx="442">
                  <c:v>26.049999999999443</c:v>
                </c:pt>
                <c:pt idx="443">
                  <c:v>26.074999999999442</c:v>
                </c:pt>
                <c:pt idx="444">
                  <c:v>26.09999999999944</c:v>
                </c:pt>
                <c:pt idx="445">
                  <c:v>26.124999999999439</c:v>
                </c:pt>
                <c:pt idx="446">
                  <c:v>26.149999999999437</c:v>
                </c:pt>
                <c:pt idx="447">
                  <c:v>26.174999999999436</c:v>
                </c:pt>
                <c:pt idx="448">
                  <c:v>26.199999999999434</c:v>
                </c:pt>
                <c:pt idx="449">
                  <c:v>26.224999999999433</c:v>
                </c:pt>
                <c:pt idx="450">
                  <c:v>26.249999999999432</c:v>
                </c:pt>
                <c:pt idx="451">
                  <c:v>26.27499999999943</c:v>
                </c:pt>
                <c:pt idx="452">
                  <c:v>26.299999999999429</c:v>
                </c:pt>
                <c:pt idx="453">
                  <c:v>26.324999999999427</c:v>
                </c:pt>
                <c:pt idx="454">
                  <c:v>26.349999999999426</c:v>
                </c:pt>
                <c:pt idx="455">
                  <c:v>26.374999999999424</c:v>
                </c:pt>
                <c:pt idx="456">
                  <c:v>26.399999999999423</c:v>
                </c:pt>
                <c:pt idx="457">
                  <c:v>26.424999999999422</c:v>
                </c:pt>
                <c:pt idx="458">
                  <c:v>26.44999999999942</c:v>
                </c:pt>
                <c:pt idx="459">
                  <c:v>26.474999999999419</c:v>
                </c:pt>
                <c:pt idx="460">
                  <c:v>26.499999999999417</c:v>
                </c:pt>
                <c:pt idx="461">
                  <c:v>26.524999999999416</c:v>
                </c:pt>
                <c:pt idx="462">
                  <c:v>26.549999999999415</c:v>
                </c:pt>
                <c:pt idx="463">
                  <c:v>26.574999999999413</c:v>
                </c:pt>
                <c:pt idx="464">
                  <c:v>26.599999999999412</c:v>
                </c:pt>
                <c:pt idx="465">
                  <c:v>26.62499999999941</c:v>
                </c:pt>
                <c:pt idx="466">
                  <c:v>26.649999999999409</c:v>
                </c:pt>
                <c:pt idx="467">
                  <c:v>26.674999999999407</c:v>
                </c:pt>
                <c:pt idx="468">
                  <c:v>26.699999999999406</c:v>
                </c:pt>
                <c:pt idx="469">
                  <c:v>26.724999999999405</c:v>
                </c:pt>
                <c:pt idx="470">
                  <c:v>26.749999999999403</c:v>
                </c:pt>
                <c:pt idx="471">
                  <c:v>26.774999999999402</c:v>
                </c:pt>
                <c:pt idx="472">
                  <c:v>26.7999999999994</c:v>
                </c:pt>
                <c:pt idx="473">
                  <c:v>26.824999999999399</c:v>
                </c:pt>
                <c:pt idx="474">
                  <c:v>26.849999999999397</c:v>
                </c:pt>
                <c:pt idx="475">
                  <c:v>26.874999999999396</c:v>
                </c:pt>
                <c:pt idx="476">
                  <c:v>26.899999999999395</c:v>
                </c:pt>
                <c:pt idx="477">
                  <c:v>26.924999999999393</c:v>
                </c:pt>
                <c:pt idx="478">
                  <c:v>26.949999999999392</c:v>
                </c:pt>
                <c:pt idx="479">
                  <c:v>26.97499999999939</c:v>
                </c:pt>
                <c:pt idx="480">
                  <c:v>26.999999999999389</c:v>
                </c:pt>
                <c:pt idx="481">
                  <c:v>27.024999999999388</c:v>
                </c:pt>
                <c:pt idx="482">
                  <c:v>27.049999999999386</c:v>
                </c:pt>
                <c:pt idx="483">
                  <c:v>27.074999999999385</c:v>
                </c:pt>
                <c:pt idx="484">
                  <c:v>27.099999999999383</c:v>
                </c:pt>
                <c:pt idx="485">
                  <c:v>27.124999999999382</c:v>
                </c:pt>
                <c:pt idx="486">
                  <c:v>27.14999999999938</c:v>
                </c:pt>
                <c:pt idx="487">
                  <c:v>27.174999999999379</c:v>
                </c:pt>
                <c:pt idx="488">
                  <c:v>27.199999999999378</c:v>
                </c:pt>
                <c:pt idx="489">
                  <c:v>27.224999999999376</c:v>
                </c:pt>
                <c:pt idx="490">
                  <c:v>27.249999999999375</c:v>
                </c:pt>
                <c:pt idx="491">
                  <c:v>27.274999999999373</c:v>
                </c:pt>
                <c:pt idx="492">
                  <c:v>27.299999999999372</c:v>
                </c:pt>
                <c:pt idx="493">
                  <c:v>27.32499999999937</c:v>
                </c:pt>
                <c:pt idx="494">
                  <c:v>27.349999999999369</c:v>
                </c:pt>
                <c:pt idx="495">
                  <c:v>27.374999999999368</c:v>
                </c:pt>
                <c:pt idx="496">
                  <c:v>27.399999999999366</c:v>
                </c:pt>
                <c:pt idx="497">
                  <c:v>27.424999999999365</c:v>
                </c:pt>
                <c:pt idx="498">
                  <c:v>27.449999999999363</c:v>
                </c:pt>
                <c:pt idx="499">
                  <c:v>27.474999999999362</c:v>
                </c:pt>
                <c:pt idx="500">
                  <c:v>27.499999999999361</c:v>
                </c:pt>
                <c:pt idx="501">
                  <c:v>27.524999999999359</c:v>
                </c:pt>
                <c:pt idx="502">
                  <c:v>27.549999999999358</c:v>
                </c:pt>
                <c:pt idx="503">
                  <c:v>27.574999999999356</c:v>
                </c:pt>
                <c:pt idx="504">
                  <c:v>27.599999999999355</c:v>
                </c:pt>
                <c:pt idx="505">
                  <c:v>27.624999999999353</c:v>
                </c:pt>
                <c:pt idx="506">
                  <c:v>27.649999999999352</c:v>
                </c:pt>
                <c:pt idx="507">
                  <c:v>27.674999999999351</c:v>
                </c:pt>
                <c:pt idx="508">
                  <c:v>27.699999999999349</c:v>
                </c:pt>
                <c:pt idx="509">
                  <c:v>27.724999999999348</c:v>
                </c:pt>
                <c:pt idx="510">
                  <c:v>27.749999999999346</c:v>
                </c:pt>
                <c:pt idx="511">
                  <c:v>27.774999999999345</c:v>
                </c:pt>
                <c:pt idx="512">
                  <c:v>27.799999999999343</c:v>
                </c:pt>
                <c:pt idx="513">
                  <c:v>27.824999999999342</c:v>
                </c:pt>
                <c:pt idx="514">
                  <c:v>27.849999999999341</c:v>
                </c:pt>
                <c:pt idx="515">
                  <c:v>27.874999999999339</c:v>
                </c:pt>
                <c:pt idx="516">
                  <c:v>27.899999999999338</c:v>
                </c:pt>
                <c:pt idx="517">
                  <c:v>27.924999999999336</c:v>
                </c:pt>
                <c:pt idx="518">
                  <c:v>27.949999999999335</c:v>
                </c:pt>
                <c:pt idx="519">
                  <c:v>27.974999999999334</c:v>
                </c:pt>
                <c:pt idx="520">
                  <c:v>27.999999999999332</c:v>
                </c:pt>
                <c:pt idx="521">
                  <c:v>28.024999999999331</c:v>
                </c:pt>
                <c:pt idx="522">
                  <c:v>28.049999999999329</c:v>
                </c:pt>
                <c:pt idx="523">
                  <c:v>28.074999999999328</c:v>
                </c:pt>
                <c:pt idx="524">
                  <c:v>28.099999999999326</c:v>
                </c:pt>
                <c:pt idx="525">
                  <c:v>28.124999999999325</c:v>
                </c:pt>
                <c:pt idx="526">
                  <c:v>28.149999999999324</c:v>
                </c:pt>
                <c:pt idx="527">
                  <c:v>28.174999999999322</c:v>
                </c:pt>
                <c:pt idx="528">
                  <c:v>28.199999999999321</c:v>
                </c:pt>
                <c:pt idx="529">
                  <c:v>28.224999999999319</c:v>
                </c:pt>
                <c:pt idx="530">
                  <c:v>28.249999999999318</c:v>
                </c:pt>
                <c:pt idx="531">
                  <c:v>28.274999999999316</c:v>
                </c:pt>
                <c:pt idx="532">
                  <c:v>28.299999999999315</c:v>
                </c:pt>
                <c:pt idx="533">
                  <c:v>28.324999999999314</c:v>
                </c:pt>
                <c:pt idx="534">
                  <c:v>28.349999999999312</c:v>
                </c:pt>
                <c:pt idx="535">
                  <c:v>28.374999999999311</c:v>
                </c:pt>
                <c:pt idx="536">
                  <c:v>28.399999999999309</c:v>
                </c:pt>
                <c:pt idx="537">
                  <c:v>28.424999999999308</c:v>
                </c:pt>
                <c:pt idx="538">
                  <c:v>28.449999999999307</c:v>
                </c:pt>
                <c:pt idx="539">
                  <c:v>28.474999999999305</c:v>
                </c:pt>
                <c:pt idx="540">
                  <c:v>28.499999999999304</c:v>
                </c:pt>
                <c:pt idx="541">
                  <c:v>28.524999999999302</c:v>
                </c:pt>
                <c:pt idx="542">
                  <c:v>28.549999999999301</c:v>
                </c:pt>
                <c:pt idx="543">
                  <c:v>28.574999999999299</c:v>
                </c:pt>
                <c:pt idx="544">
                  <c:v>28.599999999999298</c:v>
                </c:pt>
                <c:pt idx="545">
                  <c:v>28.624999999999297</c:v>
                </c:pt>
                <c:pt idx="546">
                  <c:v>28.649999999999295</c:v>
                </c:pt>
                <c:pt idx="547">
                  <c:v>28.674999999999294</c:v>
                </c:pt>
                <c:pt idx="548">
                  <c:v>28.699999999999292</c:v>
                </c:pt>
                <c:pt idx="549">
                  <c:v>28.724999999999291</c:v>
                </c:pt>
                <c:pt idx="550">
                  <c:v>28.749999999999289</c:v>
                </c:pt>
                <c:pt idx="551">
                  <c:v>28.774999999999288</c:v>
                </c:pt>
                <c:pt idx="552">
                  <c:v>28.799999999999287</c:v>
                </c:pt>
                <c:pt idx="553">
                  <c:v>28.824999999999285</c:v>
                </c:pt>
                <c:pt idx="554">
                  <c:v>28.849999999999284</c:v>
                </c:pt>
                <c:pt idx="555">
                  <c:v>28.874999999999282</c:v>
                </c:pt>
                <c:pt idx="556">
                  <c:v>28.899999999999281</c:v>
                </c:pt>
                <c:pt idx="557">
                  <c:v>28.92499999999928</c:v>
                </c:pt>
                <c:pt idx="558">
                  <c:v>28.949999999999278</c:v>
                </c:pt>
                <c:pt idx="559">
                  <c:v>28.974999999999277</c:v>
                </c:pt>
                <c:pt idx="560">
                  <c:v>28.999999999999275</c:v>
                </c:pt>
                <c:pt idx="561">
                  <c:v>29.024999999999274</c:v>
                </c:pt>
                <c:pt idx="562">
                  <c:v>29.049999999999272</c:v>
                </c:pt>
                <c:pt idx="563">
                  <c:v>29.074999999999271</c:v>
                </c:pt>
                <c:pt idx="564">
                  <c:v>29.09999999999927</c:v>
                </c:pt>
                <c:pt idx="565">
                  <c:v>29.124999999999268</c:v>
                </c:pt>
                <c:pt idx="566">
                  <c:v>29.149999999999267</c:v>
                </c:pt>
                <c:pt idx="567">
                  <c:v>29.174999999999265</c:v>
                </c:pt>
                <c:pt idx="568">
                  <c:v>29.199999999999264</c:v>
                </c:pt>
                <c:pt idx="569">
                  <c:v>29.224999999999262</c:v>
                </c:pt>
                <c:pt idx="570">
                  <c:v>29.249999999999261</c:v>
                </c:pt>
                <c:pt idx="571">
                  <c:v>29.27499999999926</c:v>
                </c:pt>
                <c:pt idx="572">
                  <c:v>29.299999999999258</c:v>
                </c:pt>
                <c:pt idx="573">
                  <c:v>29.324999999999257</c:v>
                </c:pt>
                <c:pt idx="574">
                  <c:v>29.349999999999255</c:v>
                </c:pt>
                <c:pt idx="575">
                  <c:v>29.374999999999254</c:v>
                </c:pt>
                <c:pt idx="576">
                  <c:v>29.399999999999253</c:v>
                </c:pt>
                <c:pt idx="577">
                  <c:v>29.424999999999251</c:v>
                </c:pt>
                <c:pt idx="578">
                  <c:v>29.44999999999925</c:v>
                </c:pt>
                <c:pt idx="579">
                  <c:v>29.474999999999248</c:v>
                </c:pt>
                <c:pt idx="580">
                  <c:v>29.499999999999247</c:v>
                </c:pt>
                <c:pt idx="581">
                  <c:v>29.524999999999245</c:v>
                </c:pt>
                <c:pt idx="582">
                  <c:v>29.549999999999244</c:v>
                </c:pt>
                <c:pt idx="583">
                  <c:v>29.574999999999243</c:v>
                </c:pt>
                <c:pt idx="584">
                  <c:v>29.599999999999241</c:v>
                </c:pt>
                <c:pt idx="585">
                  <c:v>29.62499999999924</c:v>
                </c:pt>
                <c:pt idx="586">
                  <c:v>29.649999999999238</c:v>
                </c:pt>
                <c:pt idx="587">
                  <c:v>29.674999999999237</c:v>
                </c:pt>
                <c:pt idx="588">
                  <c:v>29.699999999999235</c:v>
                </c:pt>
                <c:pt idx="589">
                  <c:v>29.724999999999234</c:v>
                </c:pt>
                <c:pt idx="590">
                  <c:v>29.749999999999233</c:v>
                </c:pt>
                <c:pt idx="591">
                  <c:v>29.774999999999231</c:v>
                </c:pt>
                <c:pt idx="592">
                  <c:v>29.79999999999923</c:v>
                </c:pt>
                <c:pt idx="593">
                  <c:v>29.824999999999228</c:v>
                </c:pt>
                <c:pt idx="594">
                  <c:v>29.849999999999227</c:v>
                </c:pt>
                <c:pt idx="595">
                  <c:v>29.874999999999226</c:v>
                </c:pt>
                <c:pt idx="596">
                  <c:v>29.899999999999224</c:v>
                </c:pt>
                <c:pt idx="597">
                  <c:v>29.924999999999223</c:v>
                </c:pt>
                <c:pt idx="598">
                  <c:v>29.949999999999221</c:v>
                </c:pt>
                <c:pt idx="599">
                  <c:v>29.97499999999922</c:v>
                </c:pt>
                <c:pt idx="600">
                  <c:v>29.999999999999218</c:v>
                </c:pt>
              </c:numCache>
            </c:numRef>
          </c:xVal>
          <c:yVal>
            <c:numRef>
              <c:f>Sheet1!$C$2:$C$604</c:f>
              <c:numCache>
                <c:formatCode>General</c:formatCode>
                <c:ptCount val="603"/>
                <c:pt idx="0">
                  <c:v>2.5156373423914913E-8</c:v>
                </c:pt>
                <c:pt idx="1">
                  <c:v>2.7311889066120389E-8</c:v>
                </c:pt>
                <c:pt idx="2">
                  <c:v>2.9645835637065441E-8</c:v>
                </c:pt>
                <c:pt idx="3">
                  <c:v>3.2172432831394089E-8</c:v>
                </c:pt>
                <c:pt idx="4">
                  <c:v>3.4906986572691699E-8</c:v>
                </c:pt>
                <c:pt idx="5">
                  <c:v>3.7865968105914455E-8</c:v>
                </c:pt>
                <c:pt idx="6">
                  <c:v>4.1067098538506448E-8</c:v>
                </c:pt>
                <c:pt idx="7">
                  <c:v>4.4529439181646592E-8</c:v>
                </c:pt>
                <c:pt idx="8">
                  <c:v>4.8273488063959618E-8</c:v>
                </c:pt>
                <c:pt idx="9">
                  <c:v>5.2321283012034184E-8</c:v>
                </c:pt>
                <c:pt idx="10">
                  <c:v>5.6696511715267365E-8</c:v>
                </c:pt>
                <c:pt idx="11">
                  <c:v>6.1424629216943693E-8</c:v>
                </c:pt>
                <c:pt idx="12">
                  <c:v>6.6532983299130687E-8</c:v>
                </c:pt>
                <c:pt idx="13">
                  <c:v>7.2050948255963349E-8</c:v>
                </c:pt>
                <c:pt idx="14">
                  <c:v>7.8010067578273853E-8</c:v>
                </c:pt>
                <c:pt idx="15">
                  <c:v>8.4444206102353375E-8</c:v>
                </c:pt>
                <c:pt idx="16">
                  <c:v>9.138971220697176E-8</c:v>
                </c:pt>
                <c:pt idx="17">
                  <c:v>9.888559067568538E-8</c:v>
                </c:pt>
                <c:pt idx="18">
                  <c:v>1.0697368687601398E-7</c:v>
                </c:pt>
                <c:pt idx="19">
                  <c:v>1.1569888294331187E-7</c:v>
                </c:pt>
                <c:pt idx="20">
                  <c:v>1.2510930669518224E-7</c:v>
                </c:pt>
                <c:pt idx="21">
                  <c:v>1.3525655404214058E-7</c:v>
                </c:pt>
                <c:pt idx="22">
                  <c:v>1.4619592570201682E-7</c:v>
                </c:pt>
                <c:pt idx="23">
                  <c:v>1.5798667906933957E-7</c:v>
                </c:pt>
                <c:pt idx="24">
                  <c:v>1.7069229613678475E-7</c:v>
                </c:pt>
                <c:pt idx="25">
                  <c:v>1.8438076841372477E-7</c:v>
                </c:pt>
                <c:pt idx="26">
                  <c:v>1.9912489983711028E-7</c:v>
                </c:pt>
                <c:pt idx="27">
                  <c:v>2.1500262872239444E-7</c:v>
                </c:pt>
                <c:pt idx="28">
                  <c:v>2.3209736985707445E-7</c:v>
                </c:pt>
                <c:pt idx="29">
                  <c:v>2.5049837789675168E-7</c:v>
                </c:pt>
                <c:pt idx="30">
                  <c:v>2.7030113328348198E-7</c:v>
                </c:pt>
                <c:pt idx="31">
                  <c:v>2.9160775196869509E-7</c:v>
                </c:pt>
                <c:pt idx="32">
                  <c:v>3.1452742028818058E-7</c:v>
                </c:pt>
                <c:pt idx="33">
                  <c:v>3.3917685640465128E-7</c:v>
                </c:pt>
                <c:pt idx="34">
                  <c:v>3.6568079980434679E-7</c:v>
                </c:pt>
                <c:pt idx="35">
                  <c:v>3.9417253040798968E-7</c:v>
                </c:pt>
                <c:pt idx="36">
                  <c:v>4.247944189334101E-7</c:v>
                </c:pt>
                <c:pt idx="37">
                  <c:v>4.5769851022725796E-7</c:v>
                </c:pt>
                <c:pt idx="38">
                  <c:v>4.930471413666003E-7</c:v>
                </c:pt>
                <c:pt idx="39">
                  <c:v>5.3101359641789954E-7</c:v>
                </c:pt>
                <c:pt idx="40">
                  <c:v>5.7178279983100226E-7</c:v>
                </c:pt>
                <c:pt idx="41">
                  <c:v>6.1555205053940233E-7</c:v>
                </c:pt>
                <c:pt idx="42">
                  <c:v>6.6253179893528685E-7</c:v>
                </c:pt>
                <c:pt idx="43">
                  <c:v>7.1294646898876791E-7</c:v>
                </c:pt>
                <c:pt idx="44">
                  <c:v>7.670353278854504E-7</c:v>
                </c:pt>
                <c:pt idx="45">
                  <c:v>8.2505340566491706E-7</c:v>
                </c:pt>
                <c:pt idx="46">
                  <c:v>8.8727246745531825E-7</c:v>
                </c:pt>
                <c:pt idx="47">
                  <c:v>9.5398204101560559E-7</c:v>
                </c:pt>
                <c:pt idx="48">
                  <c:v>1.0254905024175506E-6</c:v>
                </c:pt>
                <c:pt idx="49">
                  <c:v>1.1021262228244547E-6</c:v>
                </c:pt>
                <c:pt idx="50">
                  <c:v>1.1842387794522398E-6</c:v>
                </c:pt>
                <c:pt idx="51">
                  <c:v>1.2722002339320185E-6</c:v>
                </c:pt>
                <c:pt idx="52">
                  <c:v>1.3664064814306371E-6</c:v>
                </c:pt>
                <c:pt idx="53">
                  <c:v>1.4672786740277275E-6</c:v>
                </c:pt>
                <c:pt idx="54">
                  <c:v>1.5752647219942128E-6</c:v>
                </c:pt>
                <c:pt idx="55">
                  <c:v>1.6908408767680012E-6</c:v>
                </c:pt>
                <c:pt idx="56">
                  <c:v>1.8145133995782158E-6</c:v>
                </c:pt>
                <c:pt idx="57">
                  <c:v>1.9468203198290232E-6</c:v>
                </c:pt>
                <c:pt idx="58">
                  <c:v>2.0883332875189531E-6</c:v>
                </c:pt>
                <c:pt idx="59">
                  <c:v>2.2396595241403632E-6</c:v>
                </c:pt>
                <c:pt idx="60">
                  <c:v>2.401443876677866E-6</c:v>
                </c:pt>
                <c:pt idx="61">
                  <c:v>2.5743709795023695E-6</c:v>
                </c:pt>
                <c:pt idx="62">
                  <c:v>2.7591675291406016E-6</c:v>
                </c:pt>
                <c:pt idx="63">
                  <c:v>2.9566046770871725E-6</c:v>
                </c:pt>
                <c:pt idx="64">
                  <c:v>3.1675005460180861E-6</c:v>
                </c:pt>
                <c:pt idx="65">
                  <c:v>3.3927228749611697E-6</c:v>
                </c:pt>
                <c:pt idx="66">
                  <c:v>3.6331917991792794E-6</c:v>
                </c:pt>
                <c:pt idx="67">
                  <c:v>3.8898827707272953E-6</c:v>
                </c:pt>
                <c:pt idx="68">
                  <c:v>4.1638296258531579E-6</c:v>
                </c:pt>
                <c:pt idx="69">
                  <c:v>4.4561278056260314E-6</c:v>
                </c:pt>
                <c:pt idx="70">
                  <c:v>4.7679377363926398E-6</c:v>
                </c:pt>
                <c:pt idx="71">
                  <c:v>5.1004883768829436E-6</c:v>
                </c:pt>
                <c:pt idx="72">
                  <c:v>5.4550809390116857E-6</c:v>
                </c:pt>
                <c:pt idx="73">
                  <c:v>5.8330927896500267E-6</c:v>
                </c:pt>
                <c:pt idx="74">
                  <c:v>6.2359815408727544E-6</c:v>
                </c:pt>
                <c:pt idx="75">
                  <c:v>6.6652893364213242E-6</c:v>
                </c:pt>
                <c:pt idx="76">
                  <c:v>7.1226473423597029E-6</c:v>
                </c:pt>
                <c:pt idx="77">
                  <c:v>7.6097804501395423E-6</c:v>
                </c:pt>
                <c:pt idx="78">
                  <c:v>8.1285122005335253E-6</c:v>
                </c:pt>
                <c:pt idx="79">
                  <c:v>8.6807699371383286E-6</c:v>
                </c:pt>
                <c:pt idx="80">
                  <c:v>9.2685901983952272E-6</c:v>
                </c:pt>
                <c:pt idx="81">
                  <c:v>9.8941243573212991E-6</c:v>
                </c:pt>
                <c:pt idx="82">
                  <c:v>1.0559644518392288E-5</c:v>
                </c:pt>
                <c:pt idx="83">
                  <c:v>1.1267549681264348E-5</c:v>
                </c:pt>
                <c:pt idx="84">
                  <c:v>1.2020372181270381E-5</c:v>
                </c:pt>
                <c:pt idx="85">
                  <c:v>1.2820784416872277E-5</c:v>
                </c:pt>
                <c:pt idx="86">
                  <c:v>1.3671605874495516E-5</c:v>
                </c:pt>
                <c:pt idx="87">
                  <c:v>1.4575810461417079E-5</c:v>
                </c:pt>
                <c:pt idx="88">
                  <c:v>1.5536534157617282E-5</c:v>
                </c:pt>
                <c:pt idx="89">
                  <c:v>1.6557082997746084E-5</c:v>
                </c:pt>
                <c:pt idx="90">
                  <c:v>1.7640941394587433E-5</c:v>
                </c:pt>
                <c:pt idx="91">
                  <c:v>1.8791780815636113E-5</c:v>
                </c:pt>
                <c:pt idx="92">
                  <c:v>2.0013468824626866E-5</c:v>
                </c:pt>
                <c:pt idx="93">
                  <c:v>2.1310078500073559E-5</c:v>
                </c:pt>
                <c:pt idx="94">
                  <c:v>2.2685898243090321E-5</c:v>
                </c:pt>
                <c:pt idx="95">
                  <c:v>2.4145441986970661E-5</c:v>
                </c:pt>
                <c:pt idx="96">
                  <c:v>2.5693459821196306E-5</c:v>
                </c:pt>
                <c:pt idx="97">
                  <c:v>2.733494904273731E-5</c:v>
                </c:pt>
                <c:pt idx="98">
                  <c:v>2.9075165647677648E-5</c:v>
                </c:pt>
                <c:pt idx="99">
                  <c:v>3.0919636276370764E-5</c:v>
                </c:pt>
                <c:pt idx="100">
                  <c:v>3.2874170625478845E-5</c:v>
                </c:pt>
                <c:pt idx="101">
                  <c:v>3.4944874340390849E-5</c:v>
                </c:pt>
                <c:pt idx="102">
                  <c:v>3.7138162401639712E-5</c:v>
                </c:pt>
                <c:pt idx="103">
                  <c:v>3.9460773019045752E-5</c:v>
                </c:pt>
                <c:pt idx="104">
                  <c:v>4.1919782047409819E-5</c:v>
                </c:pt>
                <c:pt idx="105">
                  <c:v>4.4522617937648165E-5</c:v>
                </c:pt>
                <c:pt idx="106">
                  <c:v>4.727707723732087E-5</c:v>
                </c:pt>
                <c:pt idx="107">
                  <c:v>5.0191340654533181E-5</c:v>
                </c:pt>
                <c:pt idx="108">
                  <c:v>5.3273989699205879E-5</c:v>
                </c:pt>
                <c:pt idx="109">
                  <c:v>5.653402391569352E-5</c:v>
                </c:pt>
                <c:pt idx="110">
                  <c:v>5.9980878720695239E-5</c:v>
                </c:pt>
                <c:pt idx="111">
                  <c:v>6.3624443860336153E-5</c:v>
                </c:pt>
                <c:pt idx="112">
                  <c:v>6.747508250020411E-5</c:v>
                </c:pt>
                <c:pt idx="113">
                  <c:v>7.1543650962009329E-5</c:v>
                </c:pt>
                <c:pt idx="114">
                  <c:v>7.5841519120375017E-5</c:v>
                </c:pt>
                <c:pt idx="115">
                  <c:v>8.0380591473084445E-5</c:v>
                </c:pt>
                <c:pt idx="116">
                  <c:v>8.5173328897890008E-5</c:v>
                </c:pt>
                <c:pt idx="117">
                  <c:v>9.0232771108728315E-5</c:v>
                </c:pt>
                <c:pt idx="118">
                  <c:v>9.5572559823897443E-5</c:v>
                </c:pt>
                <c:pt idx="119">
                  <c:v>1.0120696265841474E-4</c:v>
                </c:pt>
                <c:pt idx="120">
                  <c:v>1.0715089775239676E-4</c:v>
                </c:pt>
                <c:pt idx="121">
                  <c:v>1.134199591468895E-4</c:v>
                </c:pt>
                <c:pt idx="122">
                  <c:v>1.2003044291811272E-4</c:v>
                </c:pt>
                <c:pt idx="123">
                  <c:v>1.269993740805685E-4</c:v>
                </c:pt>
                <c:pt idx="124">
                  <c:v>1.3434453426891755E-4</c:v>
                </c:pt>
                <c:pt idx="125">
                  <c:v>1.4208449020790769E-4</c:v>
                </c:pt>
                <c:pt idx="126">
                  <c:v>1.5023862297899147E-4</c:v>
                </c:pt>
                <c:pt idx="127">
                  <c:v>1.5882715809155176E-4</c:v>
                </c:pt>
                <c:pt idx="128">
                  <c:v>1.678711963658882E-4</c:v>
                </c:pt>
                <c:pt idx="129">
                  <c:v>1.773927456343E-4</c:v>
                </c:pt>
                <c:pt idx="130">
                  <c:v>1.874147532657092E-4</c:v>
                </c:pt>
                <c:pt idx="131">
                  <c:v>1.9796113951834113E-4</c:v>
                </c:pt>
                <c:pt idx="132">
                  <c:v>2.0905683172395986E-4</c:v>
                </c:pt>
                <c:pt idx="133">
                  <c:v>2.2072779930610816E-4</c:v>
                </c:pt>
                <c:pt idx="134">
                  <c:v>2.3300108963365777E-4</c:v>
                </c:pt>
                <c:pt idx="135">
                  <c:v>2.459048647097866E-4</c:v>
                </c:pt>
                <c:pt idx="136">
                  <c:v>2.5946843869523943E-4</c:v>
                </c:pt>
                <c:pt idx="137">
                  <c:v>2.7372231626338571E-4</c:v>
                </c:pt>
                <c:pt idx="138">
                  <c:v>2.8869823178320292E-4</c:v>
                </c:pt>
                <c:pt idx="139">
                  <c:v>3.0442918932483158E-4</c:v>
                </c:pt>
                <c:pt idx="140">
                  <c:v>3.2094950348079873E-4</c:v>
                </c:pt>
                <c:pt idx="141">
                  <c:v>3.3829484099441094E-4</c:v>
                </c:pt>
                <c:pt idx="142">
                  <c:v>3.5650226318510101E-4</c:v>
                </c:pt>
                <c:pt idx="143">
                  <c:v>3.7561026915877374E-4</c:v>
                </c:pt>
                <c:pt idx="144">
                  <c:v>3.9565883978933016E-4</c:v>
                </c:pt>
                <c:pt idx="145">
                  <c:v>4.1668948245565776E-4</c:v>
                </c:pt>
                <c:pt idx="146">
                  <c:v>4.3874527651637489E-4</c:v>
                </c:pt>
                <c:pt idx="147">
                  <c:v>4.6187091950253484E-4</c:v>
                </c:pt>
                <c:pt idx="148">
                  <c:v>4.8611277400638624E-4</c:v>
                </c:pt>
                <c:pt idx="149">
                  <c:v>5.1151891524203253E-4</c:v>
                </c:pt>
                <c:pt idx="150">
                  <c:v>5.3813917925155834E-4</c:v>
                </c:pt>
                <c:pt idx="151">
                  <c:v>5.6602521172782478E-4</c:v>
                </c:pt>
                <c:pt idx="152">
                  <c:v>5.9523051742266741E-4</c:v>
                </c:pt>
                <c:pt idx="153">
                  <c:v>6.2581051010675022E-4</c:v>
                </c:pt>
                <c:pt idx="154">
                  <c:v>6.578225630446946E-4</c:v>
                </c:pt>
                <c:pt idx="155">
                  <c:v>6.9132605994649387E-4</c:v>
                </c:pt>
                <c:pt idx="156">
                  <c:v>7.2638244635343211E-4</c:v>
                </c:pt>
                <c:pt idx="157">
                  <c:v>7.630552814139901E-4</c:v>
                </c:pt>
                <c:pt idx="158">
                  <c:v>8.0141029000230604E-4</c:v>
                </c:pt>
                <c:pt idx="159">
                  <c:v>8.4151541512885255E-4</c:v>
                </c:pt>
                <c:pt idx="160">
                  <c:v>8.8344087059001727E-4</c:v>
                </c:pt>
                <c:pt idx="161">
                  <c:v>9.2725919380017528E-4</c:v>
                </c:pt>
                <c:pt idx="162">
                  <c:v>9.730452987468046E-4</c:v>
                </c:pt>
                <c:pt idx="163">
                  <c:v>1.020876529005997E-3</c:v>
                </c:pt>
                <c:pt idx="164">
                  <c:v>1.0708327107524897E-3</c:v>
                </c:pt>
                <c:pt idx="165">
                  <c:v>1.1229962056951866E-3</c:v>
                </c:pt>
                <c:pt idx="166">
                  <c:v>1.1774519638657137E-3</c:v>
                </c:pt>
                <c:pt idx="167">
                  <c:v>1.2342875761843671E-3</c:v>
                </c:pt>
                <c:pt idx="168">
                  <c:v>1.2935933267243158E-3</c:v>
                </c:pt>
                <c:pt idx="169">
                  <c:v>1.3554622445916657E-3</c:v>
                </c:pt>
                <c:pt idx="170">
                  <c:v>1.4199901553354829E-3</c:v>
                </c:pt>
                <c:pt idx="171">
                  <c:v>1.48727573179849E-3</c:v>
                </c:pt>
                <c:pt idx="172">
                  <c:v>1.557420544315756E-3</c:v>
                </c:pt>
                <c:pt idx="173">
                  <c:v>1.6305291101651579E-3</c:v>
                </c:pt>
                <c:pt idx="174">
                  <c:v>1.7067089421701036E-3</c:v>
                </c:pt>
                <c:pt idx="175">
                  <c:v>1.7860705963514219E-3</c:v>
                </c:pt>
                <c:pt idx="176">
                  <c:v>1.8687277185220604E-3</c:v>
                </c:pt>
                <c:pt idx="177">
                  <c:v>1.954797089714752E-3</c:v>
                </c:pt>
                <c:pt idx="178">
                  <c:v>2.0443986703294966E-3</c:v>
                </c:pt>
                <c:pt idx="179">
                  <c:v>2.1376556428843907E-3</c:v>
                </c:pt>
                <c:pt idx="180">
                  <c:v>2.2346944532500705E-3</c:v>
                </c:pt>
                <c:pt idx="181">
                  <c:v>2.3356448502448099E-3</c:v>
                </c:pt>
                <c:pt idx="182">
                  <c:v>2.4406399234642388E-3</c:v>
                </c:pt>
                <c:pt idx="183">
                  <c:v>2.5498161392164278E-3</c:v>
                </c:pt>
                <c:pt idx="184">
                  <c:v>2.6633133744303245E-3</c:v>
                </c:pt>
                <c:pt idx="185">
                  <c:v>2.781274948402415E-3</c:v>
                </c:pt>
                <c:pt idx="186">
                  <c:v>2.9038476522438589E-3</c:v>
                </c:pt>
                <c:pt idx="187">
                  <c:v>3.0311817758875469E-3</c:v>
                </c:pt>
                <c:pt idx="188">
                  <c:v>3.1634311325121236E-3</c:v>
                </c:pt>
                <c:pt idx="189">
                  <c:v>3.3007530802374625E-3</c:v>
                </c:pt>
                <c:pt idx="190">
                  <c:v>3.4433085409438374E-3</c:v>
                </c:pt>
                <c:pt idx="191">
                  <c:v>3.5912620160650694E-3</c:v>
                </c:pt>
                <c:pt idx="192">
                  <c:v>3.7447815992036884E-3</c:v>
                </c:pt>
                <c:pt idx="193">
                  <c:v>3.9040389854147137E-3</c:v>
                </c:pt>
                <c:pt idx="194">
                  <c:v>4.0692094770027826E-3</c:v>
                </c:pt>
                <c:pt idx="195">
                  <c:v>4.2404719856761293E-3</c:v>
                </c:pt>
                <c:pt idx="196">
                  <c:v>4.418009030899772E-3</c:v>
                </c:pt>
                <c:pt idx="197">
                  <c:v>4.6020067342891118E-3</c:v>
                </c:pt>
                <c:pt idx="198">
                  <c:v>4.7926548098847525E-3</c:v>
                </c:pt>
                <c:pt idx="199">
                  <c:v>4.9901465501485101E-3</c:v>
                </c:pt>
                <c:pt idx="200">
                  <c:v>5.1946788075206817E-3</c:v>
                </c:pt>
                <c:pt idx="201">
                  <c:v>5.4064519713785284E-3</c:v>
                </c:pt>
                <c:pt idx="202">
                  <c:v>5.6256699402362107E-3</c:v>
                </c:pt>
                <c:pt idx="203">
                  <c:v>5.8525400890272411E-3</c:v>
                </c:pt>
                <c:pt idx="204">
                  <c:v>6.0872732313111636E-3</c:v>
                </c:pt>
                <c:pt idx="205">
                  <c:v>6.3300835762476601E-3</c:v>
                </c:pt>
                <c:pt idx="206">
                  <c:v>6.5811886801826168E-3</c:v>
                </c:pt>
                <c:pt idx="207">
                  <c:v>6.8408093926926551E-3</c:v>
                </c:pt>
                <c:pt idx="208">
                  <c:v>7.1091697969369386E-3</c:v>
                </c:pt>
                <c:pt idx="209">
                  <c:v>7.3864971441673522E-3</c:v>
                </c:pt>
                <c:pt idx="210">
                  <c:v>7.6730217822515E-3</c:v>
                </c:pt>
                <c:pt idx="211">
                  <c:v>7.96897707806574E-3</c:v>
                </c:pt>
                <c:pt idx="212">
                  <c:v>8.2745993336196689E-3</c:v>
                </c:pt>
                <c:pt idx="213">
                  <c:v>8.5901276957771402E-3</c:v>
                </c:pt>
                <c:pt idx="214">
                  <c:v>8.9158040594433541E-3</c:v>
                </c:pt>
                <c:pt idx="215">
                  <c:v>9.2518729640927982E-3</c:v>
                </c:pt>
                <c:pt idx="216">
                  <c:v>9.5985814835173565E-3</c:v>
                </c:pt>
                <c:pt idx="217">
                  <c:v>9.9561791086802409E-3</c:v>
                </c:pt>
                <c:pt idx="218">
                  <c:v>1.0324917623567053E-2</c:v>
                </c:pt>
                <c:pt idx="219">
                  <c:v>1.0705050973931663E-2</c:v>
                </c:pt>
                <c:pt idx="220">
                  <c:v>1.1096835128841995E-2</c:v>
                </c:pt>
                <c:pt idx="221">
                  <c:v>1.1500527934937367E-2</c:v>
                </c:pt>
                <c:pt idx="222">
                  <c:v>1.1916388963317559E-2</c:v>
                </c:pt>
                <c:pt idx="223">
                  <c:v>1.2344679348991151E-2</c:v>
                </c:pt>
                <c:pt idx="224">
                  <c:v>1.2785661622819924E-2</c:v>
                </c:pt>
                <c:pt idx="225">
                  <c:v>1.3239599535904719E-2</c:v>
                </c:pt>
                <c:pt idx="226">
                  <c:v>1.3706757876367416E-2</c:v>
                </c:pt>
                <c:pt idx="227">
                  <c:v>1.4187402278494248E-2</c:v>
                </c:pt>
                <c:pt idx="228">
                  <c:v>1.4681799024214829E-2</c:v>
                </c:pt>
                <c:pt idx="229">
                  <c:v>1.5190214836903016E-2</c:v>
                </c:pt>
                <c:pt idx="230">
                  <c:v>1.5712916667495823E-2</c:v>
                </c:pt>
                <c:pt idx="231">
                  <c:v>1.6250171472938765E-2</c:v>
                </c:pt>
                <c:pt idx="232">
                  <c:v>1.6802245986977476E-2</c:v>
                </c:pt>
                <c:pt idx="233">
                  <c:v>1.7369406483327479E-2</c:v>
                </c:pt>
                <c:pt idx="234">
                  <c:v>1.7951918531267163E-2</c:v>
                </c:pt>
                <c:pt idx="235">
                  <c:v>1.8550046743711156E-2</c:v>
                </c:pt>
                <c:pt idx="236">
                  <c:v>1.9164054517835163E-2</c:v>
                </c:pt>
                <c:pt idx="237">
                  <c:v>1.9794203768336661E-2</c:v>
                </c:pt>
                <c:pt idx="238">
                  <c:v>2.0440754653429569E-2</c:v>
                </c:pt>
                <c:pt idx="239">
                  <c:v>2.1103965293685689E-2</c:v>
                </c:pt>
                <c:pt idx="240">
                  <c:v>2.1784091483849414E-2</c:v>
                </c:pt>
                <c:pt idx="241">
                  <c:v>2.2481386397767963E-2</c:v>
                </c:pt>
                <c:pt idx="242">
                  <c:v>2.319610028659309E-2</c:v>
                </c:pt>
                <c:pt idx="243">
                  <c:v>2.3928480170426598E-2</c:v>
                </c:pt>
                <c:pt idx="244">
                  <c:v>2.4678769523596555E-2</c:v>
                </c:pt>
                <c:pt idx="245">
                  <c:v>2.5447207953766805E-2</c:v>
                </c:pt>
                <c:pt idx="246">
                  <c:v>2.6234030875098544E-2</c:v>
                </c:pt>
                <c:pt idx="247">
                  <c:v>2.7039469175697488E-2</c:v>
                </c:pt>
                <c:pt idx="248">
                  <c:v>2.786374887959742E-2</c:v>
                </c:pt>
                <c:pt idx="249">
                  <c:v>2.8707090803545589E-2</c:v>
                </c:pt>
                <c:pt idx="250">
                  <c:v>2.9569710208872207E-2</c:v>
                </c:pt>
                <c:pt idx="251">
                  <c:v>3.045181644874214E-2</c:v>
                </c:pt>
                <c:pt idx="252">
                  <c:v>3.135361261110254E-2</c:v>
                </c:pt>
                <c:pt idx="253">
                  <c:v>3.2275295157656807E-2</c:v>
                </c:pt>
                <c:pt idx="254">
                  <c:v>3.3217053559210015E-2</c:v>
                </c:pt>
                <c:pt idx="255">
                  <c:v>3.4179069927748044E-2</c:v>
                </c:pt>
                <c:pt idx="256">
                  <c:v>3.5161518645626826E-2</c:v>
                </c:pt>
                <c:pt idx="257">
                  <c:v>3.6164565992264537E-2</c:v>
                </c:pt>
                <c:pt idx="258">
                  <c:v>3.7188369768744234E-2</c:v>
                </c:pt>
                <c:pt idx="259">
                  <c:v>3.8233078920749342E-2</c:v>
                </c:pt>
                <c:pt idx="260">
                  <c:v>3.9298833160269157E-2</c:v>
                </c:pt>
                <c:pt idx="261">
                  <c:v>4.0385762586525639E-2</c:v>
                </c:pt>
                <c:pt idx="262">
                  <c:v>4.1493987306586884E-2</c:v>
                </c:pt>
                <c:pt idx="263">
                  <c:v>4.2623617056145695E-2</c:v>
                </c:pt>
                <c:pt idx="264">
                  <c:v>4.3774750820955458E-2</c:v>
                </c:pt>
                <c:pt idx="265">
                  <c:v>4.4947476459427198E-2</c:v>
                </c:pt>
                <c:pt idx="266">
                  <c:v>4.6141870326904547E-2</c:v>
                </c:pt>
                <c:pt idx="267">
                  <c:v>4.7357996902144248E-2</c:v>
                </c:pt>
                <c:pt idx="268">
                  <c:v>4.8595908416541087E-2</c:v>
                </c:pt>
                <c:pt idx="269">
                  <c:v>4.9855644486646082E-2</c:v>
                </c:pt>
                <c:pt idx="270">
                  <c:v>5.1137231750536964E-2</c:v>
                </c:pt>
                <c:pt idx="271">
                  <c:v>5.2440683508607817E-2</c:v>
                </c:pt>
                <c:pt idx="272">
                  <c:v>5.3765999369354035E-2</c:v>
                </c:pt>
                <c:pt idx="273">
                  <c:v>5.5113164900735367E-2</c:v>
                </c:pt>
                <c:pt idx="274">
                  <c:v>5.6482151287706922E-2</c:v>
                </c:pt>
                <c:pt idx="275">
                  <c:v>5.787291499651287E-2</c:v>
                </c:pt>
                <c:pt idx="276">
                  <c:v>5.9285397446343924E-2</c:v>
                </c:pt>
                <c:pt idx="277">
                  <c:v>6.0719524688961815E-2</c:v>
                </c:pt>
                <c:pt idx="278">
                  <c:v>6.2175207096898506E-2</c:v>
                </c:pt>
                <c:pt idx="279">
                  <c:v>6.3652339060839197E-2</c:v>
                </c:pt>
                <c:pt idx="280">
                  <c:v>6.5150798696799184E-2</c:v>
                </c:pt>
                <c:pt idx="281">
                  <c:v>6.667044756370509E-2</c:v>
                </c:pt>
                <c:pt idx="282">
                  <c:v>6.8211130391989783E-2</c:v>
                </c:pt>
                <c:pt idx="283">
                  <c:v>6.9772674823808029E-2</c:v>
                </c:pt>
                <c:pt idx="284">
                  <c:v>7.1354891165477011E-2</c:v>
                </c:pt>
                <c:pt idx="285">
                  <c:v>7.2957572152741582E-2</c:v>
                </c:pt>
                <c:pt idx="286">
                  <c:v>7.4580492729458769E-2</c:v>
                </c:pt>
                <c:pt idx="287">
                  <c:v>7.6223409840289164E-2</c:v>
                </c:pt>
                <c:pt idx="288">
                  <c:v>7.7886062237975659E-2</c:v>
                </c:pt>
                <c:pt idx="289">
                  <c:v>7.9568170305780964E-2</c:v>
                </c:pt>
                <c:pt idx="290">
                  <c:v>8.1269435895645017E-2</c:v>
                </c:pt>
                <c:pt idx="291">
                  <c:v>8.2989542182612702E-2</c:v>
                </c:pt>
                <c:pt idx="292">
                  <c:v>8.4728153536069759E-2</c:v>
                </c:pt>
                <c:pt idx="293">
                  <c:v>8.6484915408310853E-2</c:v>
                </c:pt>
                <c:pt idx="294">
                  <c:v>8.8259454240949539E-2</c:v>
                </c:pt>
                <c:pt idx="295">
                  <c:v>9.005137738966372E-2</c:v>
                </c:pt>
                <c:pt idx="296">
                  <c:v>9.1860273067753018E-2</c:v>
                </c:pt>
                <c:pt idx="297">
                  <c:v>9.368571030896615E-2</c:v>
                </c:pt>
                <c:pt idx="298">
                  <c:v>9.5527238950037285E-2</c:v>
                </c:pt>
                <c:pt idx="299">
                  <c:v>9.7384389633349652E-2</c:v>
                </c:pt>
                <c:pt idx="300">
                  <c:v>9.9256673830122377E-2</c:v>
                </c:pt>
                <c:pt idx="301">
                  <c:v>0.10114358388449518</c:v>
                </c:pt>
                <c:pt idx="302">
                  <c:v>0.1030445930788598</c:v>
                </c:pt>
                <c:pt idx="303">
                  <c:v>0.10495915572076375</c:v>
                </c:pt>
                <c:pt idx="304">
                  <c:v>0.10688670725168459</c:v>
                </c:pt>
                <c:pt idx="305">
                  <c:v>0.10882666437794734</c:v>
                </c:pt>
                <c:pt idx="306">
                  <c:v>0.11077842522402828</c:v>
                </c:pt>
                <c:pt idx="307">
                  <c:v>0.11274136950846077</c:v>
                </c:pt>
                <c:pt idx="308">
                  <c:v>0.11471485874252764</c:v>
                </c:pt>
                <c:pt idx="309">
                  <c:v>0.11669823645189545</c:v>
                </c:pt>
                <c:pt idx="310">
                  <c:v>0.11869082842131318</c:v>
                </c:pt>
                <c:pt idx="311">
                  <c:v>0.12069194296246649</c:v>
                </c:pt>
                <c:pt idx="312">
                  <c:v>0.12270087120504546</c:v>
                </c:pt>
                <c:pt idx="313">
                  <c:v>0.12471688741105003</c:v>
                </c:pt>
                <c:pt idx="314">
                  <c:v>0.12673924931232344</c:v>
                </c:pt>
                <c:pt idx="315">
                  <c:v>0.12876719847126863</c:v>
                </c:pt>
                <c:pt idx="316">
                  <c:v>0.13079996066466795</c:v>
                </c:pt>
                <c:pt idx="317">
                  <c:v>0.13283674629048997</c:v>
                </c:pt>
                <c:pt idx="318">
                  <c:v>0.13487675079753203</c:v>
                </c:pt>
                <c:pt idx="319">
                  <c:v>0.13691915513771011</c:v>
                </c:pt>
                <c:pt idx="320">
                  <c:v>0.1389631262407704</c:v>
                </c:pt>
                <c:pt idx="321">
                  <c:v>0.14100781751116165</c:v>
                </c:pt>
                <c:pt idx="322">
                  <c:v>0.14305236934676854</c:v>
                </c:pt>
                <c:pt idx="323">
                  <c:v>0.14509590967917069</c:v>
                </c:pt>
                <c:pt idx="324">
                  <c:v>0.14713755453505384</c:v>
                </c:pt>
                <c:pt idx="325">
                  <c:v>0.1491764086183639</c:v>
                </c:pt>
                <c:pt idx="326">
                  <c:v>0.15121156591275633</c:v>
                </c:pt>
                <c:pt idx="327">
                  <c:v>0.15324211030385812</c:v>
                </c:pt>
                <c:pt idx="328">
                  <c:v>0.15526711622082293</c:v>
                </c:pt>
                <c:pt idx="329">
                  <c:v>0.15728564929662325</c:v>
                </c:pt>
                <c:pt idx="330">
                  <c:v>0.15929676704648982</c:v>
                </c:pt>
                <c:pt idx="331">
                  <c:v>0.16129951956387201</c:v>
                </c:pt>
                <c:pt idx="332">
                  <c:v>0.16329295023325882</c:v>
                </c:pt>
                <c:pt idx="333">
                  <c:v>0.16527609645916838</c:v>
                </c:pt>
                <c:pt idx="334">
                  <c:v>0.16724799041057775</c:v>
                </c:pt>
                <c:pt idx="335">
                  <c:v>0.16920765978003616</c:v>
                </c:pt>
                <c:pt idx="336">
                  <c:v>0.17115412855667095</c:v>
                </c:pt>
                <c:pt idx="337">
                  <c:v>0.17308641781226769</c:v>
                </c:pt>
                <c:pt idx="338">
                  <c:v>0.17500354649957431</c:v>
                </c:pt>
                <c:pt idx="339">
                  <c:v>0.17690453226195338</c:v>
                </c:pt>
                <c:pt idx="340">
                  <c:v>0.17878839225347848</c:v>
                </c:pt>
                <c:pt idx="341">
                  <c:v>0.18065414396854518</c:v>
                </c:pt>
                <c:pt idx="342">
                  <c:v>0.18250080608004304</c:v>
                </c:pt>
                <c:pt idx="343">
                  <c:v>0.18432739928511177</c:v>
                </c:pt>
                <c:pt idx="344">
                  <c:v>0.18613294715748352</c:v>
                </c:pt>
                <c:pt idx="345">
                  <c:v>0.18791647700539307</c:v>
                </c:pt>
                <c:pt idx="346">
                  <c:v>0.1896770207340181</c:v>
                </c:pt>
                <c:pt idx="347">
                  <c:v>0.19141361571139703</c:v>
                </c:pt>
                <c:pt idx="348">
                  <c:v>0.1931253056367539</c:v>
                </c:pt>
                <c:pt idx="349">
                  <c:v>0.19481114141014785</c:v>
                </c:pt>
                <c:pt idx="350">
                  <c:v>0.19647018200235217</c:v>
                </c:pt>
                <c:pt idx="351">
                  <c:v>0.19810149532385748</c:v>
                </c:pt>
                <c:pt idx="352">
                  <c:v>0.19970415909188541</c:v>
                </c:pt>
                <c:pt idx="353">
                  <c:v>0.20127726169429258</c:v>
                </c:pt>
                <c:pt idx="354">
                  <c:v>0.20281990304923952</c:v>
                </c:pt>
                <c:pt idx="355">
                  <c:v>0.20433119545949613</c:v>
                </c:pt>
                <c:pt idx="356">
                  <c:v>0.20581026446025541</c:v>
                </c:pt>
                <c:pt idx="357">
                  <c:v>0.20725624965932612</c:v>
                </c:pt>
                <c:pt idx="358">
                  <c:v>0.20866830556857974</c:v>
                </c:pt>
                <c:pt idx="359">
                  <c:v>0.21004560242553028</c:v>
                </c:pt>
                <c:pt idx="360">
                  <c:v>0.21138732700393331</c:v>
                </c:pt>
                <c:pt idx="361">
                  <c:v>0.21269268341229816</c:v>
                </c:pt>
                <c:pt idx="362">
                  <c:v>0.21396089387921874</c:v>
                </c:pt>
                <c:pt idx="363">
                  <c:v>0.21519119952444005</c:v>
                </c:pt>
                <c:pt idx="364">
                  <c:v>0.21638286111459215</c:v>
                </c:pt>
                <c:pt idx="365">
                  <c:v>0.21753515980253951</c:v>
                </c:pt>
                <c:pt idx="366">
                  <c:v>0.21864739784931253</c:v>
                </c:pt>
                <c:pt idx="367">
                  <c:v>0.21971889932760624</c:v>
                </c:pt>
                <c:pt idx="368">
                  <c:v>0.22074901080585516</c:v>
                </c:pt>
                <c:pt idx="369">
                  <c:v>0.22173710201191507</c:v>
                </c:pt>
                <c:pt idx="370">
                  <c:v>0.22268256647540968</c:v>
                </c:pt>
                <c:pt idx="371">
                  <c:v>0.22358482214782463</c:v>
                </c:pt>
                <c:pt idx="372">
                  <c:v>0.22444331199946349</c:v>
                </c:pt>
                <c:pt idx="373">
                  <c:v>0.22525750459240743</c:v>
                </c:pt>
                <c:pt idx="374">
                  <c:v>0.22602689462865486</c:v>
                </c:pt>
                <c:pt idx="375">
                  <c:v>0.2267510034726489</c:v>
                </c:pt>
                <c:pt idx="376">
                  <c:v>0.22742937964743726</c:v>
                </c:pt>
                <c:pt idx="377">
                  <c:v>0.22806159930374367</c:v>
                </c:pt>
                <c:pt idx="378">
                  <c:v>0.2286472666612698</c:v>
                </c:pt>
                <c:pt idx="379">
                  <c:v>0.22918601442158323</c:v>
                </c:pt>
                <c:pt idx="380">
                  <c:v>0.22967750415198976</c:v>
                </c:pt>
                <c:pt idx="381">
                  <c:v>0.23012142663982751</c:v>
                </c:pt>
                <c:pt idx="382">
                  <c:v>0.23051750221666417</c:v>
                </c:pt>
                <c:pt idx="383">
                  <c:v>0.23086548105192128</c:v>
                </c:pt>
                <c:pt idx="384">
                  <c:v>0.23116514341549407</c:v>
                </c:pt>
                <c:pt idx="385">
                  <c:v>0.23141629990898077</c:v>
                </c:pt>
                <c:pt idx="386">
                  <c:v>0.23161879166517954</c:v>
                </c:pt>
                <c:pt idx="387">
                  <c:v>0.23177249051556087</c:v>
                </c:pt>
                <c:pt idx="388">
                  <c:v>0.2318772991254662</c:v>
                </c:pt>
                <c:pt idx="389">
                  <c:v>0.23193315109683446</c:v>
                </c:pt>
                <c:pt idx="390">
                  <c:v>0.23194001103830439</c:v>
                </c:pt>
                <c:pt idx="391">
                  <c:v>0.23189787460258907</c:v>
                </c:pt>
                <c:pt idx="392">
                  <c:v>0.23180676849106685</c:v>
                </c:pt>
                <c:pt idx="393">
                  <c:v>0.23166675042558318</c:v>
                </c:pt>
                <c:pt idx="394">
                  <c:v>0.23147790908750335</c:v>
                </c:pt>
                <c:pt idx="395">
                  <c:v>0.23124036402410791</c:v>
                </c:pt>
                <c:pt idx="396">
                  <c:v>0.23095426552246764</c:v>
                </c:pt>
                <c:pt idx="397">
                  <c:v>0.23061979445098549</c:v>
                </c:pt>
                <c:pt idx="398">
                  <c:v>0.2302371620688384</c:v>
                </c:pt>
                <c:pt idx="399">
                  <c:v>0.22980660980360104</c:v>
                </c:pt>
                <c:pt idx="400">
                  <c:v>0.229328408997378</c:v>
                </c:pt>
                <c:pt idx="401">
                  <c:v>0.2288028606218197</c:v>
                </c:pt>
                <c:pt idx="402">
                  <c:v>0.22823029496243885</c:v>
                </c:pt>
                <c:pt idx="403">
                  <c:v>0.22761107127269345</c:v>
                </c:pt>
                <c:pt idx="404">
                  <c:v>0.22694557739834142</c:v>
                </c:pt>
                <c:pt idx="405">
                  <c:v>0.22623422937261795</c:v>
                </c:pt>
                <c:pt idx="406">
                  <c:v>0.22547747098282639</c:v>
                </c:pt>
                <c:pt idx="407">
                  <c:v>0.22467577330897526</c:v>
                </c:pt>
                <c:pt idx="408">
                  <c:v>0.22382963423513208</c:v>
                </c:pt>
                <c:pt idx="409">
                  <c:v>0.2229395779342041</c:v>
                </c:pt>
                <c:pt idx="410">
                  <c:v>0.22200615432689191</c:v>
                </c:pt>
                <c:pt idx="411">
                  <c:v>0.22102993851559752</c:v>
                </c:pt>
                <c:pt idx="412">
                  <c:v>0.22001153019410244</c:v>
                </c:pt>
                <c:pt idx="413">
                  <c:v>0.2189515530338641</c:v>
                </c:pt>
                <c:pt idx="414">
                  <c:v>0.21785065404780865</c:v>
                </c:pt>
                <c:pt idx="415">
                  <c:v>0.21670950293252947</c:v>
                </c:pt>
                <c:pt idx="416">
                  <c:v>0.21552879138982564</c:v>
                </c:pt>
                <c:pt idx="417">
                  <c:v>0.2143092324285425</c:v>
                </c:pt>
                <c:pt idx="418">
                  <c:v>0.21305155964770073</c:v>
                </c:pt>
                <c:pt idx="419">
                  <c:v>0.2117565265019202</c:v>
                </c:pt>
                <c:pt idx="420">
                  <c:v>0.2104249055501683</c:v>
                </c:pt>
                <c:pt idx="421">
                  <c:v>0.20905748768887986</c:v>
                </c:pt>
                <c:pt idx="422">
                  <c:v>0.20765508137051145</c:v>
                </c:pt>
                <c:pt idx="423">
                  <c:v>0.20621851180861042</c:v>
                </c:pt>
                <c:pt idx="424">
                  <c:v>0.20474862017048892</c:v>
                </c:pt>
                <c:pt idx="425">
                  <c:v>0.20324626275860669</c:v>
                </c:pt>
                <c:pt idx="426">
                  <c:v>0.20171231018177446</c:v>
                </c:pt>
                <c:pt idx="427">
                  <c:v>0.20014764651729655</c:v>
                </c:pt>
                <c:pt idx="428">
                  <c:v>0.19855316846517751</c:v>
                </c:pt>
                <c:pt idx="429">
                  <c:v>0.19692978449552045</c:v>
                </c:pt>
                <c:pt idx="430">
                  <c:v>0.19527841399024612</c:v>
                </c:pt>
                <c:pt idx="431">
                  <c:v>0.19359998638026121</c:v>
                </c:pt>
                <c:pt idx="432">
                  <c:v>0.1918954402792023</c:v>
                </c:pt>
                <c:pt idx="433">
                  <c:v>0.19016572261487685</c:v>
                </c:pt>
                <c:pt idx="434">
                  <c:v>0.18841178775951789</c:v>
                </c:pt>
                <c:pt idx="435">
                  <c:v>0.1866345966599593</c:v>
                </c:pt>
                <c:pt idx="436">
                  <c:v>0.18483511596883034</c:v>
                </c:pt>
                <c:pt idx="437">
                  <c:v>0.18301431717785535</c:v>
                </c:pt>
                <c:pt idx="438">
                  <c:v>0.18117317575433295</c:v>
                </c:pt>
                <c:pt idx="439">
                  <c:v>0.17931267028185213</c:v>
                </c:pt>
                <c:pt idx="440">
                  <c:v>0.17743378160628739</c:v>
                </c:pt>
                <c:pt idx="441">
                  <c:v>0.17553749198809704</c:v>
                </c:pt>
                <c:pt idx="442">
                  <c:v>0.17362478426192812</c:v>
                </c:pt>
                <c:pt idx="443">
                  <c:v>0.17169664100451132</c:v>
                </c:pt>
                <c:pt idx="444">
                  <c:v>0.16975404371180558</c:v>
                </c:pt>
                <c:pt idx="445">
                  <c:v>0.16779797198632962</c:v>
                </c:pt>
                <c:pt idx="446">
                  <c:v>0.16582940273559019</c:v>
                </c:pt>
                <c:pt idx="447">
                  <c:v>0.16384930938249295</c:v>
                </c:pt>
                <c:pt idx="448">
                  <c:v>0.16185866108859159</c:v>
                </c:pt>
                <c:pt idx="449">
                  <c:v>0.15985842199100381</c:v>
                </c:pt>
                <c:pt idx="450">
                  <c:v>0.15784955045379231</c:v>
                </c:pt>
                <c:pt idx="451">
                  <c:v>0.15583299833457753</c:v>
                </c:pt>
                <c:pt idx="452">
                  <c:v>0.15380971026711796</c:v>
                </c:pt>
                <c:pt idx="453">
                  <c:v>0.1517806229605608</c:v>
                </c:pt>
                <c:pt idx="454">
                  <c:v>0.14974666451603236</c:v>
                </c:pt>
                <c:pt idx="455">
                  <c:v>0.14770875376120335</c:v>
                </c:pt>
                <c:pt idx="456">
                  <c:v>0.14566779960342988</c:v>
                </c:pt>
                <c:pt idx="457">
                  <c:v>0.1436247004020357</c:v>
                </c:pt>
                <c:pt idx="458">
                  <c:v>0.14158034336026476</c:v>
                </c:pt>
                <c:pt idx="459">
                  <c:v>0.13953560393739792</c:v>
                </c:pt>
                <c:pt idx="460">
                  <c:v>0.13749134528149098</c:v>
                </c:pt>
                <c:pt idx="461">
                  <c:v>0.1354484176831538</c:v>
                </c:pt>
                <c:pt idx="462">
                  <c:v>0.13340765805075419</c:v>
                </c:pt>
                <c:pt idx="463">
                  <c:v>0.13136988940739297</c:v>
                </c:pt>
                <c:pt idx="464">
                  <c:v>0.12933592040995906</c:v>
                </c:pt>
                <c:pt idx="465">
                  <c:v>0.12730654489053767</c:v>
                </c:pt>
                <c:pt idx="466">
                  <c:v>0.12528254142040568</c:v>
                </c:pt>
                <c:pt idx="467">
                  <c:v>0.12326467289681399</c:v>
                </c:pt>
                <c:pt idx="468">
                  <c:v>0.12125368615271831</c:v>
                </c:pt>
                <c:pt idx="469">
                  <c:v>0.1192503115895841</c:v>
                </c:pt>
                <c:pt idx="470">
                  <c:v>0.11725526283335592</c:v>
                </c:pt>
                <c:pt idx="471">
                  <c:v>0.11526923641364584</c:v>
                </c:pt>
                <c:pt idx="472">
                  <c:v>0.11329291146615982</c:v>
                </c:pt>
                <c:pt idx="473">
                  <c:v>0.11132694945834834</c:v>
                </c:pt>
                <c:pt idx="474">
                  <c:v>0.10937199393823183</c:v>
                </c:pt>
                <c:pt idx="475">
                  <c:v>0.10742867030631936</c:v>
                </c:pt>
                <c:pt idx="476">
                  <c:v>0.10549758561050672</c:v>
                </c:pt>
                <c:pt idx="477">
                  <c:v>0.10357932836380802</c:v>
                </c:pt>
                <c:pt idx="478">
                  <c:v>0.10167446838474334</c:v>
                </c:pt>
                <c:pt idx="479">
                  <c:v>9.9783556660176798E-2</c:v>
                </c:pt>
                <c:pt idx="480">
                  <c:v>9.790712523036818E-2</c:v>
                </c:pt>
                <c:pt idx="481">
                  <c:v>9.6045687095974649E-2</c:v>
                </c:pt>
                <c:pt idx="482">
                  <c:v>9.4199736146710483E-2</c:v>
                </c:pt>
                <c:pt idx="483">
                  <c:v>9.2369747111347808E-2</c:v>
                </c:pt>
                <c:pt idx="484">
                  <c:v>9.0556175528714644E-2</c:v>
                </c:pt>
                <c:pt idx="485">
                  <c:v>8.8759457739324116E-2</c:v>
                </c:pt>
                <c:pt idx="486">
                  <c:v>8.6980010897243609E-2</c:v>
                </c:pt>
                <c:pt idx="487">
                  <c:v>8.5218233001792112E-2</c:v>
                </c:pt>
                <c:pt idx="488">
                  <c:v>8.3474502948632762E-2</c:v>
                </c:pt>
                <c:pt idx="489">
                  <c:v>8.1749180599807389E-2</c:v>
                </c:pt>
                <c:pt idx="490">
                  <c:v>8.004260687224142E-2</c:v>
                </c:pt>
                <c:pt idx="491">
                  <c:v>7.8355103844230986E-2</c:v>
                </c:pt>
                <c:pt idx="492">
                  <c:v>7.6686974879406108E-2</c:v>
                </c:pt>
                <c:pt idx="493">
                  <c:v>7.5038504767650449E-2</c:v>
                </c:pt>
                <c:pt idx="494">
                  <c:v>7.3409959882442977E-2</c:v>
                </c:pt>
                <c:pt idx="495">
                  <c:v>7.1801588354075269E-2</c:v>
                </c:pt>
                <c:pt idx="496">
                  <c:v>7.0213620258185325E-2</c:v>
                </c:pt>
                <c:pt idx="497">
                  <c:v>6.8646267819039819E-2</c:v>
                </c:pt>
                <c:pt idx="498">
                  <c:v>6.7099725626986781E-2</c:v>
                </c:pt>
                <c:pt idx="499">
                  <c:v>6.5574170869492465E-2</c:v>
                </c:pt>
                <c:pt idx="500">
                  <c:v>6.4069763575170288E-2</c:v>
                </c:pt>
                <c:pt idx="501">
                  <c:v>6.2586646870202794E-2</c:v>
                </c:pt>
                <c:pt idx="502">
                  <c:v>6.1124947246554116E-2</c:v>
                </c:pt>
                <c:pt idx="503">
                  <c:v>5.9684774841366237E-2</c:v>
                </c:pt>
                <c:pt idx="504">
                  <c:v>5.826622372693048E-2</c:v>
                </c:pt>
                <c:pt idx="505">
                  <c:v>5.6869372210623541E-2</c:v>
                </c:pt>
                <c:pt idx="506">
                  <c:v>5.5494283144198582E-2</c:v>
                </c:pt>
                <c:pt idx="507">
                  <c:v>5.4141004241820861E-2</c:v>
                </c:pt>
                <c:pt idx="508">
                  <c:v>5.2809568406240723E-2</c:v>
                </c:pt>
                <c:pt idx="509">
                  <c:v>5.1499994062498652E-2</c:v>
                </c:pt>
                <c:pt idx="510">
                  <c:v>5.0212285498560945E-2</c:v>
                </c:pt>
                <c:pt idx="511">
                  <c:v>4.8946433212289309E-2</c:v>
                </c:pt>
                <c:pt idx="512">
                  <c:v>4.7702414264153184E-2</c:v>
                </c:pt>
                <c:pt idx="513">
                  <c:v>4.6480192635099726E-2</c:v>
                </c:pt>
                <c:pt idx="514">
                  <c:v>4.527971958900346E-2</c:v>
                </c:pt>
                <c:pt idx="515">
                  <c:v>4.4100934039126294E-2</c:v>
                </c:pt>
                <c:pt idx="516">
                  <c:v>4.2943762918026138E-2</c:v>
                </c:pt>
                <c:pt idx="517">
                  <c:v>4.1808121550362759E-2</c:v>
                </c:pt>
                <c:pt idx="518">
                  <c:v>4.0693914028058921E-2</c:v>
                </c:pt>
                <c:pt idx="519">
                  <c:v>3.9601033587286109E-2</c:v>
                </c:pt>
                <c:pt idx="520">
                  <c:v>3.8529362986754863E-2</c:v>
                </c:pt>
                <c:pt idx="521">
                  <c:v>3.7478774886802256E-2</c:v>
                </c:pt>
                <c:pt idx="522">
                  <c:v>3.6449132228781093E-2</c:v>
                </c:pt>
                <c:pt idx="523">
                  <c:v>3.5440288614268269E-2</c:v>
                </c:pt>
                <c:pt idx="524">
                  <c:v>3.44520886836234E-2</c:v>
                </c:pt>
                <c:pt idx="525">
                  <c:v>3.3484368493442454E-2</c:v>
                </c:pt>
                <c:pt idx="526">
                  <c:v>3.2536955892465115E-2</c:v>
                </c:pt>
                <c:pt idx="527">
                  <c:v>3.1609670895509395E-2</c:v>
                </c:pt>
                <c:pt idx="528">
                  <c:v>3.0702326055021757E-2</c:v>
                </c:pt>
                <c:pt idx="529">
                  <c:v>2.9814726829845879E-2</c:v>
                </c:pt>
                <c:pt idx="530">
                  <c:v>2.894667195082886E-2</c:v>
                </c:pt>
                <c:pt idx="531">
                  <c:v>2.8097953782898723E-2</c:v>
                </c:pt>
                <c:pt idx="532">
                  <c:v>2.7268358683263563E-2</c:v>
                </c:pt>
                <c:pt idx="533">
                  <c:v>2.6457667355397011E-2</c:v>
                </c:pt>
                <c:pt idx="534">
                  <c:v>2.5665655198492753E-2</c:v>
                </c:pt>
                <c:pt idx="535">
                  <c:v>2.4892092652084551E-2</c:v>
                </c:pt>
                <c:pt idx="536">
                  <c:v>2.413674553554564E-2</c:v>
                </c:pt>
                <c:pt idx="537">
                  <c:v>2.3399375382197406E-2</c:v>
                </c:pt>
                <c:pt idx="538">
                  <c:v>2.267973976777201E-2</c:v>
                </c:pt>
                <c:pt idx="539">
                  <c:v>2.1977592632991056E-2</c:v>
                </c:pt>
                <c:pt idx="540">
                  <c:v>2.1292684600037071E-2</c:v>
                </c:pt>
                <c:pt idx="541">
                  <c:v>2.0624763282711091E-2</c:v>
                </c:pt>
                <c:pt idx="542">
                  <c:v>1.9973573590084458E-2</c:v>
                </c:pt>
                <c:pt idx="543">
                  <c:v>1.9338858023469133E-2</c:v>
                </c:pt>
                <c:pt idx="544">
                  <c:v>1.8720356966545559E-2</c:v>
                </c:pt>
                <c:pt idx="545">
                  <c:v>1.8117808968502042E-2</c:v>
                </c:pt>
                <c:pt idx="546">
                  <c:v>1.7530951020055027E-2</c:v>
                </c:pt>
                <c:pt idx="547">
                  <c:v>1.6959518822233399E-2</c:v>
                </c:pt>
                <c:pt idx="548">
                  <c:v>1.6403247047824612E-2</c:v>
                </c:pt>
                <c:pt idx="549">
                  <c:v>1.5861869595394769E-2</c:v>
                </c:pt>
                <c:pt idx="550">
                  <c:v>1.5335119835807362E-2</c:v>
                </c:pt>
                <c:pt idx="551">
                  <c:v>1.4822730851180166E-2</c:v>
                </c:pt>
                <c:pt idx="552">
                  <c:v>1.4324435666231381E-2</c:v>
                </c:pt>
                <c:pt idx="553">
                  <c:v>1.3839967471980026E-2</c:v>
                </c:pt>
                <c:pt idx="554">
                  <c:v>1.3369059841776809E-2</c:v>
                </c:pt>
                <c:pt idx="555">
                  <c:v>1.2911446939654365E-2</c:v>
                </c:pt>
                <c:pt idx="556">
                  <c:v>1.246686372099721E-2</c:v>
                </c:pt>
                <c:pt idx="557">
                  <c:v>1.2035046125542258E-2</c:v>
                </c:pt>
                <c:pt idx="558">
                  <c:v>1.1615731262732638E-2</c:v>
                </c:pt>
                <c:pt idx="559">
                  <c:v>1.1208657589456703E-2</c:v>
                </c:pt>
                <c:pt idx="560">
                  <c:v>1.0813565080214971E-2</c:v>
                </c:pt>
                <c:pt idx="561">
                  <c:v>1.043019538976688E-2</c:v>
                </c:pt>
                <c:pt idx="562">
                  <c:v>1.0058292008318159E-2</c:v>
                </c:pt>
                <c:pt idx="563">
                  <c:v>9.697600409318937E-3</c:v>
                </c:pt>
                <c:pt idx="564">
                  <c:v>9.3478681899501048E-3</c:v>
                </c:pt>
                <c:pt idx="565">
                  <c:v>9.0088452043842349E-3</c:v>
                </c:pt>
                <c:pt idx="566">
                  <c:v>8.6802836899139129E-3</c:v>
                </c:pt>
                <c:pt idx="567">
                  <c:v>8.3619383860479655E-3</c:v>
                </c:pt>
                <c:pt idx="568">
                  <c:v>8.053566646682395E-3</c:v>
                </c:pt>
                <c:pt idx="569">
                  <c:v>7.7549285454589041E-3</c:v>
                </c:pt>
                <c:pt idx="570">
                  <c:v>7.4657869744299606E-3</c:v>
                </c:pt>
                <c:pt idx="571">
                  <c:v>7.1859077361542886E-3</c:v>
                </c:pt>
                <c:pt idx="572">
                  <c:v>6.9150596293519927E-3</c:v>
                </c:pt>
                <c:pt idx="573">
                  <c:v>6.6530145282528777E-3</c:v>
                </c:pt>
                <c:pt idx="574">
                  <c:v>6.3995474557756093E-3</c:v>
                </c:pt>
                <c:pt idx="575">
                  <c:v>6.1544366506794202E-3</c:v>
                </c:pt>
                <c:pt idx="576">
                  <c:v>5.9174636288330321E-3</c:v>
                </c:pt>
                <c:pt idx="577">
                  <c:v>5.6884132387490065E-3</c:v>
                </c:pt>
                <c:pt idx="578">
                  <c:v>5.4670737115338789E-3</c:v>
                </c:pt>
                <c:pt idx="579">
                  <c:v>5.253236705407123E-3</c:v>
                </c:pt>
                <c:pt idx="580">
                  <c:v>5.046697344943854E-3</c:v>
                </c:pt>
                <c:pt idx="581">
                  <c:v>4.8472542551976716E-3</c:v>
                </c:pt>
                <c:pt idx="582">
                  <c:v>4.6547095908616477E-3</c:v>
                </c:pt>
                <c:pt idx="583">
                  <c:v>4.4688690606261182E-3</c:v>
                </c:pt>
                <c:pt idx="584">
                  <c:v>4.2895419468930111E-3</c:v>
                </c:pt>
                <c:pt idx="585">
                  <c:v>4.1165411210065039E-3</c:v>
                </c:pt>
                <c:pt idx="586">
                  <c:v>3.9496830541601562E-3</c:v>
                </c:pt>
                <c:pt idx="587">
                  <c:v>3.788787824140482E-3</c:v>
                </c:pt>
                <c:pt idx="588">
                  <c:v>3.6336791180664177E-3</c:v>
                </c:pt>
                <c:pt idx="589">
                  <c:v>3.4841842312836281E-3</c:v>
                </c:pt>
                <c:pt idx="590">
                  <c:v>3.3401340625716157E-3</c:v>
                </c:pt>
                <c:pt idx="591">
                  <c:v>3.2013631058205013E-3</c:v>
                </c:pt>
                <c:pt idx="592">
                  <c:v>3.0677094383331181E-3</c:v>
                </c:pt>
                <c:pt idx="593">
                  <c:v>2.939014705906295E-3</c:v>
                </c:pt>
                <c:pt idx="594">
                  <c:v>2.8151241048437986E-3</c:v>
                </c:pt>
                <c:pt idx="595">
                  <c:v>2.6958863610512186E-3</c:v>
                </c:pt>
                <c:pt idx="596">
                  <c:v>2.5811537063612023E-3</c:v>
                </c:pt>
                <c:pt idx="597">
                  <c:v>2.4707818522351072E-3</c:v>
                </c:pt>
                <c:pt idx="598">
                  <c:v>2.3646299609848057E-3</c:v>
                </c:pt>
                <c:pt idx="599">
                  <c:v>2.2625606146559037E-3</c:v>
                </c:pt>
                <c:pt idx="600">
                  <c:v>2.1644397817108477E-3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B4E-4468-A917-04CEEA876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87744"/>
        <c:axId val="44690432"/>
      </c:scatterChart>
      <c:valAx>
        <c:axId val="44687744"/>
        <c:scaling>
          <c:orientation val="minMax"/>
          <c:max val="30"/>
          <c:min val="15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Body Mass 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4690432"/>
        <c:crosses val="autoZero"/>
        <c:crossBetween val="midCat"/>
        <c:majorUnit val="3"/>
      </c:valAx>
      <c:valAx>
        <c:axId val="446904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 Density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4687744"/>
        <c:crosses val="autoZero"/>
        <c:crossBetween val="midCat"/>
      </c:valAx>
      <c:spPr>
        <a:solidFill>
          <a:srgbClr val="7030A0"/>
        </a:solidFill>
      </c:spPr>
    </c:plotArea>
    <c:legend>
      <c:legendPos val="r"/>
      <c:overlay val="0"/>
      <c:spPr>
        <a:solidFill>
          <a:srgbClr val="7030A0"/>
        </a:solidFill>
      </c:spPr>
      <c:txPr>
        <a:bodyPr/>
        <a:lstStyle/>
        <a:p>
          <a:pPr>
            <a:defRPr baseline="0">
              <a:solidFill>
                <a:srgbClr val="FFFF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CC"/>
    </a:solidFill>
  </c:sp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Receiver Operating Characteristic (ROC</a:t>
            </a:r>
            <a:r>
              <a:rPr lang="en-US" baseline="0"/>
              <a:t>) Curve - BMI Classify as M/F</a:t>
            </a:r>
            <a:endParaRPr lang="en-US"/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Sheet1!$P$5</c:f>
              <c:strCache>
                <c:ptCount val="1"/>
                <c:pt idx="0">
                  <c:v>True+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numRef>
              <c:f>Sheet1!$O$6:$O$202</c:f>
              <c:numCache>
                <c:formatCode>0.000</c:formatCode>
                <c:ptCount val="197"/>
                <c:pt idx="0">
                  <c:v>0.99047160110780441</c:v>
                </c:pt>
                <c:pt idx="1">
                  <c:v>0.98984753669331449</c:v>
                </c:pt>
                <c:pt idx="2">
                  <c:v>0.98918810810421498</c:v>
                </c:pt>
                <c:pt idx="3">
                  <c:v>0.98849170434673994</c:v>
                </c:pt>
                <c:pt idx="4">
                  <c:v>0.98775666697490827</c:v>
                </c:pt>
                <c:pt idx="5">
                  <c:v>0.98698129032790338</c:v>
                </c:pt>
                <c:pt idx="6">
                  <c:v>0.98616382189005258</c:v>
                </c:pt>
                <c:pt idx="7">
                  <c:v>0.98530246277912403</c:v>
                </c:pt>
                <c:pt idx="8">
                  <c:v>0.98439536836853192</c:v>
                </c:pt>
                <c:pt idx="9">
                  <c:v>0.98344064904887485</c:v>
                </c:pt>
                <c:pt idx="10">
                  <c:v>0.98243637113404259</c:v>
                </c:pt>
                <c:pt idx="11">
                  <c:v>0.98138055791689915</c:v>
                </c:pt>
                <c:pt idx="12">
                  <c:v>0.98027119087929748</c:v>
                </c:pt>
                <c:pt idx="13">
                  <c:v>0.97910621106088991</c:v>
                </c:pt>
                <c:pt idx="14">
                  <c:v>0.97788352059087558</c:v>
                </c:pt>
                <c:pt idx="15">
                  <c:v>0.97660098438647536</c:v>
                </c:pt>
                <c:pt idx="16">
                  <c:v>0.97525643202153212</c:v>
                </c:pt>
                <c:pt idx="17">
                  <c:v>0.97384765976821397</c:v>
                </c:pt>
                <c:pt idx="18">
                  <c:v>0.97237243281434727</c:v>
                </c:pt>
                <c:pt idx="19">
                  <c:v>0.97082848765841401</c:v>
                </c:pt>
                <c:pt idx="20">
                  <c:v>0.96921353468373594</c:v>
                </c:pt>
                <c:pt idx="21">
                  <c:v>0.9675252609128151</c:v>
                </c:pt>
                <c:pt idx="22">
                  <c:v>0.96576133294222422</c:v>
                </c:pt>
                <c:pt idx="23">
                  <c:v>0.96391940005783294</c:v>
                </c:pt>
                <c:pt idx="24">
                  <c:v>0.96199709752952178</c:v>
                </c:pt>
                <c:pt idx="25">
                  <c:v>0.95999205008387978</c:v>
                </c:pt>
                <c:pt idx="26">
                  <c:v>0.9579018755526949</c:v>
                </c:pt>
                <c:pt idx="27">
                  <c:v>0.95572418869434872</c:v>
                </c:pt>
                <c:pt idx="28">
                  <c:v>0.95345660518450159</c:v>
                </c:pt>
                <c:pt idx="29">
                  <c:v>0.95109674577171666</c:v>
                </c:pt>
                <c:pt idx="30">
                  <c:v>0.9486422405929209</c:v>
                </c:pt>
                <c:pt idx="31">
                  <c:v>0.94609073364283836</c:v>
                </c:pt>
                <c:pt idx="32">
                  <c:v>0.94343988739075979</c:v>
                </c:pt>
                <c:pt idx="33">
                  <c:v>0.94068738753723891</c:v>
                </c:pt>
                <c:pt idx="34">
                  <c:v>0.93783094790253163</c:v>
                </c:pt>
                <c:pt idx="35">
                  <c:v>0.93486831543782001</c:v>
                </c:pt>
                <c:pt idx="36">
                  <c:v>0.93179727534949486</c:v>
                </c:pt>
                <c:pt idx="37">
                  <c:v>0.92861565632601939</c:v>
                </c:pt>
                <c:pt idx="38">
                  <c:v>0.92532133585614518</c:v>
                </c:pt>
                <c:pt idx="39">
                  <c:v>0.9219122456265354</c:v>
                </c:pt>
                <c:pt idx="40">
                  <c:v>0.91838637698613845</c:v>
                </c:pt>
                <c:pt idx="41">
                  <c:v>0.91474178646398385</c:v>
                </c:pt>
                <c:pt idx="42">
                  <c:v>0.91097660132642011</c:v>
                </c:pt>
                <c:pt idx="43">
                  <c:v>0.90708902515920076</c:v>
                </c:pt>
                <c:pt idx="44">
                  <c:v>0.9030773434592495</c:v>
                </c:pt>
                <c:pt idx="45">
                  <c:v>0.89893992922039789</c:v>
                </c:pt>
                <c:pt idx="46">
                  <c:v>0.89467524849690183</c:v>
                </c:pt>
                <c:pt idx="47">
                  <c:v>0.89028186592809999</c:v>
                </c:pt>
                <c:pt idx="48">
                  <c:v>0.8857584502071929</c:v>
                </c:pt>
                <c:pt idx="49">
                  <c:v>0.88110377947678575</c:v>
                </c:pt>
                <c:pt idx="50">
                  <c:v>0.87631674663357018</c:v>
                </c:pt>
                <c:pt idx="51">
                  <c:v>0.87139636452430691</c:v>
                </c:pt>
                <c:pt idx="52">
                  <c:v>0.86634177101512977</c:v>
                </c:pt>
                <c:pt idx="53">
                  <c:v>0.86115223391611229</c:v>
                </c:pt>
                <c:pt idx="54">
                  <c:v>0.85582715574303414</c:v>
                </c:pt>
                <c:pt idx="55">
                  <c:v>0.85036607829834909</c:v>
                </c:pt>
                <c:pt idx="56">
                  <c:v>0.84476868705349484</c:v>
                </c:pt>
                <c:pt idx="57">
                  <c:v>0.83903481531490121</c:v>
                </c:pt>
                <c:pt idx="58">
                  <c:v>0.83316444815634361</c:v>
                </c:pt>
                <c:pt idx="59">
                  <c:v>0.82715772610065275</c:v>
                </c:pt>
                <c:pt idx="60">
                  <c:v>0.82101494853424117</c:v>
                </c:pt>
                <c:pt idx="61">
                  <c:v>0.81473657683842404</c:v>
                </c:pt>
                <c:pt idx="62">
                  <c:v>0.80832323722210841</c:v>
                </c:pt>
                <c:pt idx="63">
                  <c:v>0.8017757232411018</c:v>
                </c:pt>
                <c:pt idx="64">
                  <c:v>0.79509499799003203</c:v>
                </c:pt>
                <c:pt idx="65">
                  <c:v>0.78828219595369264</c:v>
                </c:pt>
                <c:pt idx="66">
                  <c:v>0.78133862450551439</c:v>
                </c:pt>
                <c:pt idx="67">
                  <c:v>0.77426576504181899</c:v>
                </c:pt>
                <c:pt idx="68">
                  <c:v>0.76706527374153399</c:v>
                </c:pt>
                <c:pt idx="69">
                  <c:v>0.75973898194212497</c:v>
                </c:pt>
                <c:pt idx="70">
                  <c:v>0.75228889612364191</c:v>
                </c:pt>
                <c:pt idx="71">
                  <c:v>0.74471719749396825</c:v>
                </c:pt>
                <c:pt idx="72">
                  <c:v>0.73702624116959981</c:v>
                </c:pt>
                <c:pt idx="73">
                  <c:v>0.72921855494756627</c:v>
                </c:pt>
                <c:pt idx="74">
                  <c:v>0.72129683766542974</c:v>
                </c:pt>
                <c:pt idx="75">
                  <c:v>0.71326395714765112</c:v>
                </c:pt>
                <c:pt idx="76">
                  <c:v>0.70512294773800033</c:v>
                </c:pt>
                <c:pt idx="77">
                  <c:v>0.69687700741908998</c:v>
                </c:pt>
                <c:pt idx="78">
                  <c:v>0.68852949452153689</c:v>
                </c:pt>
                <c:pt idx="79">
                  <c:v>0.68008392402668238</c:v>
                </c:pt>
                <c:pt idx="80">
                  <c:v>0.67154396346824363</c:v>
                </c:pt>
                <c:pt idx="81">
                  <c:v>0.66291342843969248</c:v>
                </c:pt>
                <c:pt idx="82">
                  <c:v>0.65419627771558408</c:v>
                </c:pt>
                <c:pt idx="83">
                  <c:v>0.64539660799646237</c:v>
                </c:pt>
                <c:pt idx="84">
                  <c:v>0.63651864828834992</c:v>
                </c:pt>
                <c:pt idx="85">
                  <c:v>0.62756675392918349</c:v>
                </c:pt>
                <c:pt idx="86">
                  <c:v>0.61854540027587424</c:v>
                </c:pt>
                <c:pt idx="87">
                  <c:v>0.60945917606694633</c:v>
                </c:pt>
                <c:pt idx="88">
                  <c:v>0.60031277647693204</c:v>
                </c:pt>
                <c:pt idx="89">
                  <c:v>0.59111099587987681</c:v>
                </c:pt>
                <c:pt idx="90">
                  <c:v>0.58185872034041919</c:v>
                </c:pt>
                <c:pt idx="91">
                  <c:v>0.57256091985195567</c:v>
                </c:pt>
                <c:pt idx="92">
                  <c:v>0.56322264034237901</c:v>
                </c:pt>
                <c:pt idx="93">
                  <c:v>0.55384899546877853</c:v>
                </c:pt>
                <c:pt idx="94">
                  <c:v>0.5444451582233123</c:v>
                </c:pt>
                <c:pt idx="95">
                  <c:v>0.535016352373196</c:v>
                </c:pt>
                <c:pt idx="96">
                  <c:v>0.52556784375840593</c:v>
                </c:pt>
                <c:pt idx="97">
                  <c:v>0.51610493147124825</c:v>
                </c:pt>
                <c:pt idx="98">
                  <c:v>0.5066329389424129</c:v>
                </c:pt>
                <c:pt idx="99">
                  <c:v>0.49715720495849869</c:v>
                </c:pt>
                <c:pt idx="100">
                  <c:v>0.4876830746362637</c:v>
                </c:pt>
                <c:pt idx="101">
                  <c:v>0.47821589037903034</c:v>
                </c:pt>
                <c:pt idx="102">
                  <c:v>0.46876098284074064</c:v>
                </c:pt>
                <c:pt idx="103">
                  <c:v>0.45932366192312846</c:v>
                </c:pt>
                <c:pt idx="104">
                  <c:v>0.44990920783134636</c:v>
                </c:pt>
                <c:pt idx="105">
                  <c:v>0.44052286221315207</c:v>
                </c:pt>
                <c:pt idx="106">
                  <c:v>0.43116981940643073</c:v>
                </c:pt>
                <c:pt idx="107">
                  <c:v>0.42185521781940549</c:v>
                </c:pt>
                <c:pt idx="108">
                  <c:v>0.41258413146736406</c:v>
                </c:pt>
                <c:pt idx="109">
                  <c:v>0.40336156168911907</c:v>
                </c:pt>
                <c:pt idx="110">
                  <c:v>0.39419242906571728</c:v>
                </c:pt>
                <c:pt idx="111">
                  <c:v>0.38508156556312323</c:v>
                </c:pt>
                <c:pt idx="112">
                  <c:v>0.37603370691973459</c:v>
                </c:pt>
                <c:pt idx="113">
                  <c:v>0.36705348529864212</c:v>
                </c:pt>
                <c:pt idx="114">
                  <c:v>0.35814542222352241</c:v>
                </c:pt>
                <c:pt idx="115">
                  <c:v>0.3493139218159711</c:v>
                </c:pt>
                <c:pt idx="116">
                  <c:v>0.34056326435092921</c:v>
                </c:pt>
                <c:pt idx="117">
                  <c:v>0.33189760014565572</c:v>
                </c:pt>
                <c:pt idx="118">
                  <c:v>0.32332094379643705</c:v>
                </c:pt>
                <c:pt idx="119">
                  <c:v>0.31483716877592971</c:v>
                </c:pt>
                <c:pt idx="120">
                  <c:v>0.30645000240268483</c:v>
                </c:pt>
                <c:pt idx="121">
                  <c:v>0.29816302119304317</c:v>
                </c:pt>
                <c:pt idx="122">
                  <c:v>0.28997964660418041</c:v>
                </c:pt>
                <c:pt idx="123">
                  <c:v>0.28190314117567561</c:v>
                </c:pt>
                <c:pt idx="124">
                  <c:v>0.27393660507554407</c:v>
                </c:pt>
                <c:pt idx="125">
                  <c:v>0.26608297305524164</c:v>
                </c:pt>
                <c:pt idx="126">
                  <c:v>0.25834501181671521</c:v>
                </c:pt>
                <c:pt idx="127">
                  <c:v>0.25072531779314755</c:v>
                </c:pt>
                <c:pt idx="128">
                  <c:v>0.24322631534363082</c:v>
                </c:pt>
                <c:pt idx="129">
                  <c:v>0.23585025536061177</c:v>
                </c:pt>
                <c:pt idx="130">
                  <c:v>0.22859921428758079</c:v>
                </c:pt>
                <c:pt idx="131">
                  <c:v>0.22147509354314254</c:v>
                </c:pt>
                <c:pt idx="132">
                  <c:v>0.21447961934630466</c:v>
                </c:pt>
                <c:pt idx="133">
                  <c:v>0.207614342936562</c:v>
                </c:pt>
                <c:pt idx="134">
                  <c:v>0.20088064118114579</c:v>
                </c:pt>
                <c:pt idx="135">
                  <c:v>0.19427971756064044</c:v>
                </c:pt>
                <c:pt idx="136">
                  <c:v>0.18781260352307427</c:v>
                </c:pt>
                <c:pt idx="137">
                  <c:v>0.18148016019553825</c:v>
                </c:pt>
                <c:pt idx="138">
                  <c:v>0.17528308044141139</c:v>
                </c:pt>
                <c:pt idx="139">
                  <c:v>0.16922189125034937</c:v>
                </c:pt>
                <c:pt idx="140">
                  <c:v>0.16329695644735187</c:v>
                </c:pt>
                <c:pt idx="141">
                  <c:v>0.1575084797064461</c:v>
                </c:pt>
                <c:pt idx="142">
                  <c:v>0.1518565078538211</c:v>
                </c:pt>
                <c:pt idx="143">
                  <c:v>0.14634093444462271</c:v>
                </c:pt>
                <c:pt idx="144">
                  <c:v>0.14096150359706394</c:v>
                </c:pt>
                <c:pt idx="145">
                  <c:v>0.13571781406703531</c:v>
                </c:pt>
                <c:pt idx="146">
                  <c:v>0.13060932354599686</c:v>
                </c:pt>
                <c:pt idx="147">
                  <c:v>0.12563535316461538</c:v>
                </c:pt>
                <c:pt idx="148">
                  <c:v>0.12079509218436491</c:v>
                </c:pt>
                <c:pt idx="149">
                  <c:v>0.11608760285913955</c:v>
                </c:pt>
                <c:pt idx="150">
                  <c:v>0.11151182544883054</c:v>
                </c:pt>
                <c:pt idx="151">
                  <c:v>0.10706658336680175</c:v>
                </c:pt>
                <c:pt idx="152">
                  <c:v>0.10275058844324125</c:v>
                </c:pt>
                <c:pt idx="153">
                  <c:v>9.8562446286488137E-2</c:v>
                </c:pt>
                <c:pt idx="154">
                  <c:v>9.4500661724616575E-2</c:v>
                </c:pt>
                <c:pt idx="155">
                  <c:v>9.0563644309804792E-2</c:v>
                </c:pt>
                <c:pt idx="156">
                  <c:v>8.6749713868327971E-2</c:v>
                </c:pt>
                <c:pt idx="157">
                  <c:v>8.3057106079375886E-2</c:v>
                </c:pt>
                <c:pt idx="158">
                  <c:v>7.9483978066321126E-2</c:v>
                </c:pt>
                <c:pt idx="159">
                  <c:v>7.6028413984527421E-2</c:v>
                </c:pt>
                <c:pt idx="160">
                  <c:v>7.2688430590311381E-2</c:v>
                </c:pt>
                <c:pt idx="161">
                  <c:v>6.9461982776228059E-2</c:v>
                </c:pt>
                <c:pt idx="162">
                  <c:v>6.6346969058450167E-2</c:v>
                </c:pt>
                <c:pt idx="163">
                  <c:v>6.3341237002648154E-2</c:v>
                </c:pt>
                <c:pt idx="164">
                  <c:v>6.0442588575442935E-2</c:v>
                </c:pt>
                <c:pt idx="165">
                  <c:v>5.7648785409199044E-2</c:v>
                </c:pt>
                <c:pt idx="166">
                  <c:v>5.495755396863844E-2</c:v>
                </c:pt>
                <c:pt idx="167">
                  <c:v>5.2366590608498242E-2</c:v>
                </c:pt>
                <c:pt idx="168">
                  <c:v>4.987356651220165E-2</c:v>
                </c:pt>
                <c:pt idx="169">
                  <c:v>4.7476132502276447E-2</c:v>
                </c:pt>
                <c:pt idx="170">
                  <c:v>4.5171923714029116E-2</c:v>
                </c:pt>
                <c:pt idx="171">
                  <c:v>4.2958564124750964E-2</c:v>
                </c:pt>
                <c:pt idx="172">
                  <c:v>4.0833670931514798E-2</c:v>
                </c:pt>
                <c:pt idx="173">
                  <c:v>3.8794858771389773E-2</c:v>
                </c:pt>
                <c:pt idx="174">
                  <c:v>3.6839743778664835E-2</c:v>
                </c:pt>
                <c:pt idx="175">
                  <c:v>3.4965947474434489E-2</c:v>
                </c:pt>
                <c:pt idx="176">
                  <c:v>3.3171100484638227E-2</c:v>
                </c:pt>
                <c:pt idx="177">
                  <c:v>3.1452846083376396E-2</c:v>
                </c:pt>
                <c:pt idx="178">
                  <c:v>2.9808843559035902E-2</c:v>
                </c:pt>
                <c:pt idx="179">
                  <c:v>2.8236771401449978E-2</c:v>
                </c:pt>
                <c:pt idx="180">
                  <c:v>2.6734330308983312E-2</c:v>
                </c:pt>
                <c:pt idx="181">
                  <c:v>2.5299246015078602E-2</c:v>
                </c:pt>
                <c:pt idx="182">
                  <c:v>2.3929271934418517E-2</c:v>
                </c:pt>
                <c:pt idx="183">
                  <c:v>2.2622191629445565E-2</c:v>
                </c:pt>
                <c:pt idx="184">
                  <c:v>2.1375821098544523E-2</c:v>
                </c:pt>
                <c:pt idx="185">
                  <c:v>2.0188010887721153E-2</c:v>
                </c:pt>
                <c:pt idx="186">
                  <c:v>1.9056648028111245E-2</c:v>
                </c:pt>
                <c:pt idx="187">
                  <c:v>1.7979657802120075E-2</c:v>
                </c:pt>
                <c:pt idx="188">
                  <c:v>1.6955005341427909E-2</c:v>
                </c:pt>
                <c:pt idx="189">
                  <c:v>1.598069706049654E-2</c:v>
                </c:pt>
                <c:pt idx="190">
                  <c:v>1.5054781929584538E-2</c:v>
                </c:pt>
                <c:pt idx="191">
                  <c:v>1.4175352591607515E-2</c:v>
                </c:pt>
                <c:pt idx="192">
                  <c:v>1.3340546327487823E-2</c:v>
                </c:pt>
                <c:pt idx="193">
                  <c:v>1.2548545874904615E-2</c:v>
                </c:pt>
                <c:pt idx="194">
                  <c:v>1.1797580105590399E-2</c:v>
                </c:pt>
                <c:pt idx="195">
                  <c:v>1.1085924566529792E-2</c:v>
                </c:pt>
                <c:pt idx="196">
                  <c:v>1.0411901890585828E-2</c:v>
                </c:pt>
              </c:numCache>
            </c:numRef>
          </c:xVal>
          <c:yVal>
            <c:numRef>
              <c:f>Sheet1!$P$6:$P$202</c:f>
              <c:numCache>
                <c:formatCode>0.000</c:formatCode>
                <c:ptCount val="197"/>
                <c:pt idx="0">
                  <c:v>0.99992849596753297</c:v>
                </c:pt>
                <c:pt idx="1">
                  <c:v>0.99991962216003505</c:v>
                </c:pt>
                <c:pt idx="2">
                  <c:v>0.99990971952579899</c:v>
                </c:pt>
                <c:pt idx="3">
                  <c:v>0.99989867811678712</c:v>
                </c:pt>
                <c:pt idx="4">
                  <c:v>0.99988637737555808</c:v>
                </c:pt>
                <c:pt idx="5">
                  <c:v>0.99987268524311457</c:v>
                </c:pt>
                <c:pt idx="6">
                  <c:v>0.99985745720605212</c:v>
                </c:pt>
                <c:pt idx="7">
                  <c:v>0.99984053528036276</c:v>
                </c:pt>
                <c:pt idx="8">
                  <c:v>0.99982174692929005</c:v>
                </c:pt>
                <c:pt idx="9">
                  <c:v>0.9998009039126885</c:v>
                </c:pt>
                <c:pt idx="10">
                  <c:v>0.99977780106542635</c:v>
                </c:pt>
                <c:pt idx="11">
                  <c:v>0.99975221500247713</c:v>
                </c:pt>
                <c:pt idx="12">
                  <c:v>0.99972390274847756</c:v>
                </c:pt>
                <c:pt idx="13">
                  <c:v>0.9996926002896952</c:v>
                </c:pt>
                <c:pt idx="14">
                  <c:v>0.99965802104653911</c:v>
                </c:pt>
                <c:pt idx="15">
                  <c:v>0.9996198542649718</c:v>
                </c:pt>
                <c:pt idx="16">
                  <c:v>0.99957776332544135</c:v>
                </c:pt>
                <c:pt idx="17">
                  <c:v>0.99953138396824504</c:v>
                </c:pt>
                <c:pt idx="18">
                  <c:v>0.99948032243456997</c:v>
                </c:pt>
                <c:pt idx="19">
                  <c:v>0.99942415352282521</c:v>
                </c:pt>
                <c:pt idx="20">
                  <c:v>0.9993624185602934</c:v>
                </c:pt>
                <c:pt idx="21">
                  <c:v>0.99929462329058072</c:v>
                </c:pt>
                <c:pt idx="22">
                  <c:v>0.99922023567784235</c:v>
                </c:pt>
                <c:pt idx="23">
                  <c:v>0.99913868362929481</c:v>
                </c:pt>
                <c:pt idx="24">
                  <c:v>0.9990493526381149</c:v>
                </c:pt>
                <c:pt idx="25">
                  <c:v>0.99895158334944567</c:v>
                </c:pt>
                <c:pt idx="26">
                  <c:v>0.99884466905290392</c:v>
                </c:pt>
                <c:pt idx="27">
                  <c:v>0.99872785310569445</c:v>
                </c:pt>
                <c:pt idx="28">
                  <c:v>0.99860032629119433</c:v>
                </c:pt>
                <c:pt idx="29">
                  <c:v>0.99846122411866389</c:v>
                </c:pt>
                <c:pt idx="30">
                  <c:v>0.99830962407057944</c:v>
                </c:pt>
                <c:pt idx="31">
                  <c:v>0.99814454280495379</c:v>
                </c:pt>
                <c:pt idx="32">
                  <c:v>0.99796493332091751</c:v>
                </c:pt>
                <c:pt idx="33">
                  <c:v>0.99776968209677142</c:v>
                </c:pt>
                <c:pt idx="34">
                  <c:v>0.99755760621068368</c:v>
                </c:pt>
                <c:pt idx="35">
                  <c:v>0.99732745045519489</c:v>
                </c:pt>
                <c:pt idx="36">
                  <c:v>0.99707788445769419</c:v>
                </c:pt>
                <c:pt idx="37">
                  <c:v>0.99680749982004935</c:v>
                </c:pt>
                <c:pt idx="38">
                  <c:v>0.99651480729159547</c:v>
                </c:pt>
                <c:pt idx="39">
                  <c:v>0.99619823399070628</c:v>
                </c:pt>
                <c:pt idx="40">
                  <c:v>0.99585612069118734</c:v>
                </c:pt>
                <c:pt idx="41">
                  <c:v>0.99548671919072729</c:v>
                </c:pt>
                <c:pt idx="42">
                  <c:v>0.99508818977961644</c:v>
                </c:pt>
                <c:pt idx="43">
                  <c:v>0.99465859882888308</c:v>
                </c:pt>
                <c:pt idx="44">
                  <c:v>0.99419591651789352</c:v>
                </c:pt>
                <c:pt idx="45">
                  <c:v>0.99369801472231245</c:v>
                </c:pt>
                <c:pt idx="46">
                  <c:v>0.99316266508409956</c:v>
                </c:pt>
                <c:pt idx="47">
                  <c:v>0.99258753728593485</c:v>
                </c:pt>
                <c:pt idx="48">
                  <c:v>0.99197019755308968</c:v>
                </c:pt>
                <c:pt idx="49">
                  <c:v>0.99130810740630138</c:v>
                </c:pt>
                <c:pt idx="50">
                  <c:v>0.99059862268963605</c:v>
                </c:pt>
                <c:pt idx="51">
                  <c:v>0.98983899289764332</c:v>
                </c:pt>
                <c:pt idx="52">
                  <c:v>0.98902636082629702</c:v>
                </c:pt>
                <c:pt idx="53">
                  <c:v>0.98815776257226839</c:v>
                </c:pt>
                <c:pt idx="54">
                  <c:v>0.98723012790499032</c:v>
                </c:pt>
                <c:pt idx="55">
                  <c:v>0.98624028103571915</c:v>
                </c:pt>
                <c:pt idx="56">
                  <c:v>0.9851849418073908</c:v>
                </c:pt>
                <c:pt idx="57">
                  <c:v>0.98406072732848049</c:v>
                </c:pt>
                <c:pt idx="58">
                  <c:v>0.98286415407330707</c:v>
                </c:pt>
                <c:pt idx="59">
                  <c:v>0.98159164047026826</c:v>
                </c:pt>
                <c:pt idx="60">
                  <c:v>0.98023950999834253</c:v>
                </c:pt>
                <c:pt idx="61">
                  <c:v>0.97880399481084557</c:v>
                </c:pt>
                <c:pt idx="62">
                  <c:v>0.97728123990388005</c:v>
                </c:pt>
                <c:pt idx="63">
                  <c:v>0.97566730784516109</c:v>
                </c:pt>
                <c:pt idx="64">
                  <c:v>0.97395818407694457</c:v>
                </c:pt>
                <c:pt idx="65">
                  <c:v>0.97214978280462228</c:v>
                </c:pt>
                <c:pt idx="66">
                  <c:v>0.97023795348018471</c:v>
                </c:pt>
                <c:pt idx="67">
                  <c:v>0.96821848788719511</c:v>
                </c:pt>
                <c:pt idx="68">
                  <c:v>0.96608712783116912</c:v>
                </c:pt>
                <c:pt idx="69">
                  <c:v>0.96383957343632287</c:v>
                </c:pt>
                <c:pt idx="70">
                  <c:v>0.96147149204655102</c:v>
                </c:pt>
                <c:pt idx="71">
                  <c:v>0.95897852772523129</c:v>
                </c:pt>
                <c:pt idx="72">
                  <c:v>0.95635631134504417</c:v>
                </c:pt>
                <c:pt idx="73">
                  <c:v>0.95360047125545455</c:v>
                </c:pt>
                <c:pt idx="74">
                  <c:v>0.95070664451185039</c:v>
                </c:pt>
                <c:pt idx="75">
                  <c:v>0.94767048864658399</c:v>
                </c:pt>
                <c:pt idx="76">
                  <c:v>0.94448769395834142</c:v>
                </c:pt>
                <c:pt idx="77">
                  <c:v>0.94115399629239649</c:v>
                </c:pt>
                <c:pt idx="78">
                  <c:v>0.93766519028040851</c:v>
                </c:pt>
                <c:pt idx="79">
                  <c:v>0.93401714300452465</c:v>
                </c:pt>
                <c:pt idx="80">
                  <c:v>0.93020580804668207</c:v>
                </c:pt>
                <c:pt idx="81">
                  <c:v>0.92622723988018618</c:v>
                </c:pt>
                <c:pt idx="82">
                  <c:v>0.92207760855691157</c:v>
                </c:pt>
                <c:pt idx="83">
                  <c:v>0.91775321463985593</c:v>
                </c:pt>
                <c:pt idx="84">
                  <c:v>0.91325050432729826</c:v>
                </c:pt>
                <c:pt idx="85">
                  <c:v>0.90856608471151745</c:v>
                </c:pt>
                <c:pt idx="86">
                  <c:v>0.90369673911192272</c:v>
                </c:pt>
                <c:pt idx="87">
                  <c:v>0.89863944241959171</c:v>
                </c:pt>
                <c:pt idx="88">
                  <c:v>0.89339137638760535</c:v>
                </c:pt>
                <c:pt idx="89">
                  <c:v>0.88794994479926115</c:v>
                </c:pt>
                <c:pt idx="90">
                  <c:v>0.88231278844425964</c:v>
                </c:pt>
                <c:pt idx="91">
                  <c:v>0.87647779983130858</c:v>
                </c:pt>
                <c:pt idx="92">
                  <c:v>0.8704431375643189</c:v>
                </c:pt>
                <c:pt idx="93">
                  <c:v>0.86420724030847862</c:v>
                </c:pt>
                <c:pt idx="94">
                  <c:v>0.85776884027202049</c:v>
                </c:pt>
                <c:pt idx="95">
                  <c:v>0.85112697612945654</c:v>
                </c:pt>
                <c:pt idx="96">
                  <c:v>0.84428100531245442</c:v>
                </c:pt>
                <c:pt idx="97">
                  <c:v>0.83723061559538758</c:v>
                </c:pt>
                <c:pt idx="98">
                  <c:v>0.8299758359039191</c:v>
                </c:pt>
                <c:pt idx="99">
                  <c:v>0.82251704627676792</c:v>
                </c:pt>
                <c:pt idx="100">
                  <c:v>0.81485498691308045</c:v>
                </c:pt>
                <c:pt idx="101">
                  <c:v>0.8069907662405682</c:v>
                </c:pt>
                <c:pt idx="102">
                  <c:v>0.79892586794277798</c:v>
                </c:pt>
                <c:pt idx="103">
                  <c:v>0.79066215688752806</c:v>
                </c:pt>
                <c:pt idx="104">
                  <c:v>0.78220188390265388</c:v>
                </c:pt>
                <c:pt idx="105">
                  <c:v>0.77354768934974383</c:v>
                </c:pt>
                <c:pt idx="106">
                  <c:v>0.76470260545149582</c:v>
                </c:pt>
                <c:pt idx="107">
                  <c:v>0.75567005733365877</c:v>
                </c:pt>
                <c:pt idx="108">
                  <c:v>0.74645386274821124</c:v>
                </c:pt>
                <c:pt idx="109">
                  <c:v>0.73705823045045138</c:v>
                </c:pt>
                <c:pt idx="110">
                  <c:v>0.72748775720898029</c:v>
                </c:pt>
                <c:pt idx="111">
                  <c:v>0.71774742343413123</c:v>
                </c:pt>
                <c:pt idx="112">
                  <c:v>0.70784258741717998</c:v>
                </c:pt>
                <c:pt idx="113">
                  <c:v>0.69777897817963308</c:v>
                </c:pt>
                <c:pt idx="114">
                  <c:v>0.6875626869389786</c:v>
                </c:pt>
                <c:pt idx="115">
                  <c:v>0.67720015720446125</c:v>
                </c:pt>
                <c:pt idx="116">
                  <c:v>0.66669817352365368</c:v>
                </c:pt>
                <c:pt idx="117">
                  <c:v>0.65606384890779745</c:v>
                </c:pt>
                <c:pt idx="118">
                  <c:v>0.64530461097102987</c:v>
                </c:pt>
                <c:pt idx="119">
                  <c:v>0.63442818682563762</c:v>
                </c:pt>
                <c:pt idx="120">
                  <c:v>0.62344258678235709</c:v>
                </c:pt>
                <c:pt idx="121">
                  <c:v>0.61235608691139953</c:v>
                </c:pt>
                <c:pt idx="122">
                  <c:v>0.60117721052629014</c:v>
                </c:pt>
                <c:pt idx="123">
                  <c:v>0.58991470865871509</c:v>
                </c:pt>
                <c:pt idx="124">
                  <c:v>0.5785775395983338</c:v>
                </c:pt>
                <c:pt idx="125">
                  <c:v>0.56717484757688164</c:v>
                </c:pt>
                <c:pt idx="126">
                  <c:v>0.55571594068083541</c:v>
                </c:pt>
                <c:pt idx="127">
                  <c:v>0.54421026808139106</c:v>
                </c:pt>
                <c:pt idx="128">
                  <c:v>0.53266739667448504</c:v>
                </c:pt>
                <c:pt idx="129">
                  <c:v>0.52109698722704145</c:v>
                </c:pt>
                <c:pt idx="130">
                  <c:v>0.50950877012852835</c:v>
                </c:pt>
                <c:pt idx="131">
                  <c:v>0.49791252084922677</c:v>
                </c:pt>
                <c:pt idx="132">
                  <c:v>0.48631803520834671</c:v>
                </c:pt>
                <c:pt idx="133">
                  <c:v>0.47473510455624757</c:v>
                </c:pt>
                <c:pt idx="134">
                  <c:v>0.46317349097552352</c:v>
                </c:pt>
                <c:pt idx="135">
                  <c:v>0.45164290260561113</c:v>
                </c:pt>
                <c:pt idx="136">
                  <c:v>0.44015296919483771</c:v>
                </c:pt>
                <c:pt idx="137">
                  <c:v>0.42871321798249329</c:v>
                </c:pt>
                <c:pt idx="138">
                  <c:v>0.41733305001156162</c:v>
                </c:pt>
                <c:pt idx="139">
                  <c:v>0.40602171697021416</c:v>
                </c:pt>
                <c:pt idx="140">
                  <c:v>0.39478829865706933</c:v>
                </c:pt>
                <c:pt idx="141">
                  <c:v>0.38364168116157549</c:v>
                </c:pt>
                <c:pt idx="142">
                  <c:v>0.37259053584670943</c:v>
                </c:pt>
                <c:pt idx="143">
                  <c:v>0.36164329921653415</c:v>
                </c:pt>
                <c:pt idx="144">
                  <c:v>0.35080815374605656</c:v>
                </c:pt>
                <c:pt idx="145">
                  <c:v>0.34009300974530965</c:v>
                </c:pt>
                <c:pt idx="146">
                  <c:v>0.3295054883236922</c:v>
                </c:pt>
                <c:pt idx="147">
                  <c:v>0.31905290551438159</c:v>
                </c:pt>
                <c:pt idx="148">
                  <c:v>0.30874225761212559</c:v>
                </c:pt>
                <c:pt idx="149">
                  <c:v>0.2985802077709796</c:v>
                </c:pt>
                <c:pt idx="150">
                  <c:v>0.28857307390161635</c:v>
                </c:pt>
                <c:pt idx="151">
                  <c:v>0.27872681790076381</c:v>
                </c:pt>
                <c:pt idx="152">
                  <c:v>0.2690470362381544</c:v>
                </c:pt>
                <c:pt idx="153">
                  <c:v>0.25953895191916387</c:v>
                </c:pt>
                <c:pt idx="154">
                  <c:v>0.25020740783410844</c:v>
                </c:pt>
                <c:pt idx="155">
                  <c:v>0.24105686149802108</c:v>
                </c:pt>
                <c:pt idx="156">
                  <c:v>0.23209138117768224</c:v>
                </c:pt>
                <c:pt idx="157">
                  <c:v>0.223314643395774</c:v>
                </c:pt>
                <c:pt idx="158">
                  <c:v>0.21472993179531852</c:v>
                </c:pt>
                <c:pt idx="159">
                  <c:v>0.20634013734107981</c:v>
                </c:pt>
                <c:pt idx="160">
                  <c:v>0.19814775982840127</c:v>
                </c:pt>
                <c:pt idx="161">
                  <c:v>0.19015491066404244</c:v>
                </c:pt>
                <c:pt idx="162">
                  <c:v>0.1823633168780161</c:v>
                </c:pt>
                <c:pt idx="163">
                  <c:v>0.17477432632023038</c:v>
                </c:pt>
                <c:pt idx="164">
                  <c:v>0.16738891399093314</c:v>
                </c:pt>
                <c:pt idx="165">
                  <c:v>0.16020768944957398</c:v>
                </c:pt>
                <c:pt idx="166">
                  <c:v>0.15323090524274297</c:v>
                </c:pt>
                <c:pt idx="167">
                  <c:v>0.14645846628834724</c:v>
                </c:pt>
                <c:pt idx="168">
                  <c:v>0.13988994015014533</c:v>
                </c:pt>
                <c:pt idx="169">
                  <c:v>0.13352456813418878</c:v>
                </c:pt>
                <c:pt idx="170">
                  <c:v>0.12736127713662304</c:v>
                </c:pt>
                <c:pt idx="171">
                  <c:v>0.12139869217067234</c:v>
                </c:pt>
                <c:pt idx="172">
                  <c:v>0.11563514949948206</c:v>
                </c:pt>
                <c:pt idx="173">
                  <c:v>0.11006871030079468</c:v>
                </c:pt>
                <c:pt idx="174">
                  <c:v>0.1046971747891976</c:v>
                </c:pt>
                <c:pt idx="175">
                  <c:v>9.9518096721880944E-2</c:v>
                </c:pt>
                <c:pt idx="176">
                  <c:v>9.4528798214462029E-2</c:v>
                </c:pt>
                <c:pt idx="177">
                  <c:v>8.9726384794466485E-2</c:v>
                </c:pt>
                <c:pt idx="178">
                  <c:v>8.5107760621461859E-2</c:v>
                </c:pt>
                <c:pt idx="179">
                  <c:v>8.066964380461572E-2</c:v>
                </c:pt>
                <c:pt idx="180">
                  <c:v>7.6408581750554982E-2</c:v>
                </c:pt>
                <c:pt idx="181">
                  <c:v>7.2320966476822846E-2</c:v>
                </c:pt>
                <c:pt idx="182">
                  <c:v>6.8403049828927087E-2</c:v>
                </c:pt>
                <c:pt idx="183">
                  <c:v>6.4650958541924042E-2</c:v>
                </c:pt>
                <c:pt idx="184">
                  <c:v>6.1060709090659304E-2</c:v>
                </c:pt>
                <c:pt idx="185">
                  <c:v>5.7628222276149055E-2</c:v>
                </c:pt>
                <c:pt idx="186">
                  <c:v>5.4349337499121297E-2</c:v>
                </c:pt>
                <c:pt idx="187">
                  <c:v>5.1219826675392155E-2</c:v>
                </c:pt>
                <c:pt idx="188">
                  <c:v>4.8235407751523462E-2</c:v>
                </c:pt>
                <c:pt idx="189">
                  <c:v>4.5391757783040054E-2</c:v>
                </c:pt>
                <c:pt idx="190">
                  <c:v>4.2684525541372365E-2</c:v>
                </c:pt>
                <c:pt idx="191">
                  <c:v>4.0109343619586846E-2</c:v>
                </c:pt>
                <c:pt idx="192">
                  <c:v>3.7661840010856262E-2</c:v>
                </c:pt>
                <c:pt idx="193">
                  <c:v>3.5337649137480831E-2</c:v>
                </c:pt>
                <c:pt idx="194">
                  <c:v>3.3132422312061927E-2</c:v>
                </c:pt>
                <c:pt idx="195">
                  <c:v>3.1041837616151868E-2</c:v>
                </c:pt>
                <c:pt idx="196">
                  <c:v>2.9061609185315307E-2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9C-4898-81E3-B6AC6F4BDD7E}"/>
            </c:ext>
          </c:extLst>
        </c:ser>
        <c:ser>
          <c:idx val="1"/>
          <c:order val="1"/>
          <c:tx>
            <c:strRef>
              <c:f>Sheet1!$Q$5</c:f>
              <c:strCache>
                <c:ptCount val="1"/>
                <c:pt idx="0">
                  <c:v>45DegLine</c:v>
                </c:pt>
              </c:strCache>
            </c:strRef>
          </c:tx>
          <c:spPr>
            <a:ln>
              <a:solidFill>
                <a:srgbClr val="32F828"/>
              </a:solidFill>
            </a:ln>
          </c:spPr>
          <c:marker>
            <c:symbol val="none"/>
          </c:marker>
          <c:xVal>
            <c:numRef>
              <c:f>Sheet1!$O$6:$O$202</c:f>
              <c:numCache>
                <c:formatCode>0.000</c:formatCode>
                <c:ptCount val="197"/>
                <c:pt idx="0">
                  <c:v>0.99047160110780441</c:v>
                </c:pt>
                <c:pt idx="1">
                  <c:v>0.98984753669331449</c:v>
                </c:pt>
                <c:pt idx="2">
                  <c:v>0.98918810810421498</c:v>
                </c:pt>
                <c:pt idx="3">
                  <c:v>0.98849170434673994</c:v>
                </c:pt>
                <c:pt idx="4">
                  <c:v>0.98775666697490827</c:v>
                </c:pt>
                <c:pt idx="5">
                  <c:v>0.98698129032790338</c:v>
                </c:pt>
                <c:pt idx="6">
                  <c:v>0.98616382189005258</c:v>
                </c:pt>
                <c:pt idx="7">
                  <c:v>0.98530246277912403</c:v>
                </c:pt>
                <c:pt idx="8">
                  <c:v>0.98439536836853192</c:v>
                </c:pt>
                <c:pt idx="9">
                  <c:v>0.98344064904887485</c:v>
                </c:pt>
                <c:pt idx="10">
                  <c:v>0.98243637113404259</c:v>
                </c:pt>
                <c:pt idx="11">
                  <c:v>0.98138055791689915</c:v>
                </c:pt>
                <c:pt idx="12">
                  <c:v>0.98027119087929748</c:v>
                </c:pt>
                <c:pt idx="13">
                  <c:v>0.97910621106088991</c:v>
                </c:pt>
                <c:pt idx="14">
                  <c:v>0.97788352059087558</c:v>
                </c:pt>
                <c:pt idx="15">
                  <c:v>0.97660098438647536</c:v>
                </c:pt>
                <c:pt idx="16">
                  <c:v>0.97525643202153212</c:v>
                </c:pt>
                <c:pt idx="17">
                  <c:v>0.97384765976821397</c:v>
                </c:pt>
                <c:pt idx="18">
                  <c:v>0.97237243281434727</c:v>
                </c:pt>
                <c:pt idx="19">
                  <c:v>0.97082848765841401</c:v>
                </c:pt>
                <c:pt idx="20">
                  <c:v>0.96921353468373594</c:v>
                </c:pt>
                <c:pt idx="21">
                  <c:v>0.9675252609128151</c:v>
                </c:pt>
                <c:pt idx="22">
                  <c:v>0.96576133294222422</c:v>
                </c:pt>
                <c:pt idx="23">
                  <c:v>0.96391940005783294</c:v>
                </c:pt>
                <c:pt idx="24">
                  <c:v>0.96199709752952178</c:v>
                </c:pt>
                <c:pt idx="25">
                  <c:v>0.95999205008387978</c:v>
                </c:pt>
                <c:pt idx="26">
                  <c:v>0.9579018755526949</c:v>
                </c:pt>
                <c:pt idx="27">
                  <c:v>0.95572418869434872</c:v>
                </c:pt>
                <c:pt idx="28">
                  <c:v>0.95345660518450159</c:v>
                </c:pt>
                <c:pt idx="29">
                  <c:v>0.95109674577171666</c:v>
                </c:pt>
                <c:pt idx="30">
                  <c:v>0.9486422405929209</c:v>
                </c:pt>
                <c:pt idx="31">
                  <c:v>0.94609073364283836</c:v>
                </c:pt>
                <c:pt idx="32">
                  <c:v>0.94343988739075979</c:v>
                </c:pt>
                <c:pt idx="33">
                  <c:v>0.94068738753723891</c:v>
                </c:pt>
                <c:pt idx="34">
                  <c:v>0.93783094790253163</c:v>
                </c:pt>
                <c:pt idx="35">
                  <c:v>0.93486831543782001</c:v>
                </c:pt>
                <c:pt idx="36">
                  <c:v>0.93179727534949486</c:v>
                </c:pt>
                <c:pt idx="37">
                  <c:v>0.92861565632601939</c:v>
                </c:pt>
                <c:pt idx="38">
                  <c:v>0.92532133585614518</c:v>
                </c:pt>
                <c:pt idx="39">
                  <c:v>0.9219122456265354</c:v>
                </c:pt>
                <c:pt idx="40">
                  <c:v>0.91838637698613845</c:v>
                </c:pt>
                <c:pt idx="41">
                  <c:v>0.91474178646398385</c:v>
                </c:pt>
                <c:pt idx="42">
                  <c:v>0.91097660132642011</c:v>
                </c:pt>
                <c:pt idx="43">
                  <c:v>0.90708902515920076</c:v>
                </c:pt>
                <c:pt idx="44">
                  <c:v>0.9030773434592495</c:v>
                </c:pt>
                <c:pt idx="45">
                  <c:v>0.89893992922039789</c:v>
                </c:pt>
                <c:pt idx="46">
                  <c:v>0.89467524849690183</c:v>
                </c:pt>
                <c:pt idx="47">
                  <c:v>0.89028186592809999</c:v>
                </c:pt>
                <c:pt idx="48">
                  <c:v>0.8857584502071929</c:v>
                </c:pt>
                <c:pt idx="49">
                  <c:v>0.88110377947678575</c:v>
                </c:pt>
                <c:pt idx="50">
                  <c:v>0.87631674663357018</c:v>
                </c:pt>
                <c:pt idx="51">
                  <c:v>0.87139636452430691</c:v>
                </c:pt>
                <c:pt idx="52">
                  <c:v>0.86634177101512977</c:v>
                </c:pt>
                <c:pt idx="53">
                  <c:v>0.86115223391611229</c:v>
                </c:pt>
                <c:pt idx="54">
                  <c:v>0.85582715574303414</c:v>
                </c:pt>
                <c:pt idx="55">
                  <c:v>0.85036607829834909</c:v>
                </c:pt>
                <c:pt idx="56">
                  <c:v>0.84476868705349484</c:v>
                </c:pt>
                <c:pt idx="57">
                  <c:v>0.83903481531490121</c:v>
                </c:pt>
                <c:pt idx="58">
                  <c:v>0.83316444815634361</c:v>
                </c:pt>
                <c:pt idx="59">
                  <c:v>0.82715772610065275</c:v>
                </c:pt>
                <c:pt idx="60">
                  <c:v>0.82101494853424117</c:v>
                </c:pt>
                <c:pt idx="61">
                  <c:v>0.81473657683842404</c:v>
                </c:pt>
                <c:pt idx="62">
                  <c:v>0.80832323722210841</c:v>
                </c:pt>
                <c:pt idx="63">
                  <c:v>0.8017757232411018</c:v>
                </c:pt>
                <c:pt idx="64">
                  <c:v>0.79509499799003203</c:v>
                </c:pt>
                <c:pt idx="65">
                  <c:v>0.78828219595369264</c:v>
                </c:pt>
                <c:pt idx="66">
                  <c:v>0.78133862450551439</c:v>
                </c:pt>
                <c:pt idx="67">
                  <c:v>0.77426576504181899</c:v>
                </c:pt>
                <c:pt idx="68">
                  <c:v>0.76706527374153399</c:v>
                </c:pt>
                <c:pt idx="69">
                  <c:v>0.75973898194212497</c:v>
                </c:pt>
                <c:pt idx="70">
                  <c:v>0.75228889612364191</c:v>
                </c:pt>
                <c:pt idx="71">
                  <c:v>0.74471719749396825</c:v>
                </c:pt>
                <c:pt idx="72">
                  <c:v>0.73702624116959981</c:v>
                </c:pt>
                <c:pt idx="73">
                  <c:v>0.72921855494756627</c:v>
                </c:pt>
                <c:pt idx="74">
                  <c:v>0.72129683766542974</c:v>
                </c:pt>
                <c:pt idx="75">
                  <c:v>0.71326395714765112</c:v>
                </c:pt>
                <c:pt idx="76">
                  <c:v>0.70512294773800033</c:v>
                </c:pt>
                <c:pt idx="77">
                  <c:v>0.69687700741908998</c:v>
                </c:pt>
                <c:pt idx="78">
                  <c:v>0.68852949452153689</c:v>
                </c:pt>
                <c:pt idx="79">
                  <c:v>0.68008392402668238</c:v>
                </c:pt>
                <c:pt idx="80">
                  <c:v>0.67154396346824363</c:v>
                </c:pt>
                <c:pt idx="81">
                  <c:v>0.66291342843969248</c:v>
                </c:pt>
                <c:pt idx="82">
                  <c:v>0.65419627771558408</c:v>
                </c:pt>
                <c:pt idx="83">
                  <c:v>0.64539660799646237</c:v>
                </c:pt>
                <c:pt idx="84">
                  <c:v>0.63651864828834992</c:v>
                </c:pt>
                <c:pt idx="85">
                  <c:v>0.62756675392918349</c:v>
                </c:pt>
                <c:pt idx="86">
                  <c:v>0.61854540027587424</c:v>
                </c:pt>
                <c:pt idx="87">
                  <c:v>0.60945917606694633</c:v>
                </c:pt>
                <c:pt idx="88">
                  <c:v>0.60031277647693204</c:v>
                </c:pt>
                <c:pt idx="89">
                  <c:v>0.59111099587987681</c:v>
                </c:pt>
                <c:pt idx="90">
                  <c:v>0.58185872034041919</c:v>
                </c:pt>
                <c:pt idx="91">
                  <c:v>0.57256091985195567</c:v>
                </c:pt>
                <c:pt idx="92">
                  <c:v>0.56322264034237901</c:v>
                </c:pt>
                <c:pt idx="93">
                  <c:v>0.55384899546877853</c:v>
                </c:pt>
                <c:pt idx="94">
                  <c:v>0.5444451582233123</c:v>
                </c:pt>
                <c:pt idx="95">
                  <c:v>0.535016352373196</c:v>
                </c:pt>
                <c:pt idx="96">
                  <c:v>0.52556784375840593</c:v>
                </c:pt>
                <c:pt idx="97">
                  <c:v>0.51610493147124825</c:v>
                </c:pt>
                <c:pt idx="98">
                  <c:v>0.5066329389424129</c:v>
                </c:pt>
                <c:pt idx="99">
                  <c:v>0.49715720495849869</c:v>
                </c:pt>
                <c:pt idx="100">
                  <c:v>0.4876830746362637</c:v>
                </c:pt>
                <c:pt idx="101">
                  <c:v>0.47821589037903034</c:v>
                </c:pt>
                <c:pt idx="102">
                  <c:v>0.46876098284074064</c:v>
                </c:pt>
                <c:pt idx="103">
                  <c:v>0.45932366192312846</c:v>
                </c:pt>
                <c:pt idx="104">
                  <c:v>0.44990920783134636</c:v>
                </c:pt>
                <c:pt idx="105">
                  <c:v>0.44052286221315207</c:v>
                </c:pt>
                <c:pt idx="106">
                  <c:v>0.43116981940643073</c:v>
                </c:pt>
                <c:pt idx="107">
                  <c:v>0.42185521781940549</c:v>
                </c:pt>
                <c:pt idx="108">
                  <c:v>0.41258413146736406</c:v>
                </c:pt>
                <c:pt idx="109">
                  <c:v>0.40336156168911907</c:v>
                </c:pt>
                <c:pt idx="110">
                  <c:v>0.39419242906571728</c:v>
                </c:pt>
                <c:pt idx="111">
                  <c:v>0.38508156556312323</c:v>
                </c:pt>
                <c:pt idx="112">
                  <c:v>0.37603370691973459</c:v>
                </c:pt>
                <c:pt idx="113">
                  <c:v>0.36705348529864212</c:v>
                </c:pt>
                <c:pt idx="114">
                  <c:v>0.35814542222352241</c:v>
                </c:pt>
                <c:pt idx="115">
                  <c:v>0.3493139218159711</c:v>
                </c:pt>
                <c:pt idx="116">
                  <c:v>0.34056326435092921</c:v>
                </c:pt>
                <c:pt idx="117">
                  <c:v>0.33189760014565572</c:v>
                </c:pt>
                <c:pt idx="118">
                  <c:v>0.32332094379643705</c:v>
                </c:pt>
                <c:pt idx="119">
                  <c:v>0.31483716877592971</c:v>
                </c:pt>
                <c:pt idx="120">
                  <c:v>0.30645000240268483</c:v>
                </c:pt>
                <c:pt idx="121">
                  <c:v>0.29816302119304317</c:v>
                </c:pt>
                <c:pt idx="122">
                  <c:v>0.28997964660418041</c:v>
                </c:pt>
                <c:pt idx="123">
                  <c:v>0.28190314117567561</c:v>
                </c:pt>
                <c:pt idx="124">
                  <c:v>0.27393660507554407</c:v>
                </c:pt>
                <c:pt idx="125">
                  <c:v>0.26608297305524164</c:v>
                </c:pt>
                <c:pt idx="126">
                  <c:v>0.25834501181671521</c:v>
                </c:pt>
                <c:pt idx="127">
                  <c:v>0.25072531779314755</c:v>
                </c:pt>
                <c:pt idx="128">
                  <c:v>0.24322631534363082</c:v>
                </c:pt>
                <c:pt idx="129">
                  <c:v>0.23585025536061177</c:v>
                </c:pt>
                <c:pt idx="130">
                  <c:v>0.22859921428758079</c:v>
                </c:pt>
                <c:pt idx="131">
                  <c:v>0.22147509354314254</c:v>
                </c:pt>
                <c:pt idx="132">
                  <c:v>0.21447961934630466</c:v>
                </c:pt>
                <c:pt idx="133">
                  <c:v>0.207614342936562</c:v>
                </c:pt>
                <c:pt idx="134">
                  <c:v>0.20088064118114579</c:v>
                </c:pt>
                <c:pt idx="135">
                  <c:v>0.19427971756064044</c:v>
                </c:pt>
                <c:pt idx="136">
                  <c:v>0.18781260352307427</c:v>
                </c:pt>
                <c:pt idx="137">
                  <c:v>0.18148016019553825</c:v>
                </c:pt>
                <c:pt idx="138">
                  <c:v>0.17528308044141139</c:v>
                </c:pt>
                <c:pt idx="139">
                  <c:v>0.16922189125034937</c:v>
                </c:pt>
                <c:pt idx="140">
                  <c:v>0.16329695644735187</c:v>
                </c:pt>
                <c:pt idx="141">
                  <c:v>0.1575084797064461</c:v>
                </c:pt>
                <c:pt idx="142">
                  <c:v>0.1518565078538211</c:v>
                </c:pt>
                <c:pt idx="143">
                  <c:v>0.14634093444462271</c:v>
                </c:pt>
                <c:pt idx="144">
                  <c:v>0.14096150359706394</c:v>
                </c:pt>
                <c:pt idx="145">
                  <c:v>0.13571781406703531</c:v>
                </c:pt>
                <c:pt idx="146">
                  <c:v>0.13060932354599686</c:v>
                </c:pt>
                <c:pt idx="147">
                  <c:v>0.12563535316461538</c:v>
                </c:pt>
                <c:pt idx="148">
                  <c:v>0.12079509218436491</c:v>
                </c:pt>
                <c:pt idx="149">
                  <c:v>0.11608760285913955</c:v>
                </c:pt>
                <c:pt idx="150">
                  <c:v>0.11151182544883054</c:v>
                </c:pt>
                <c:pt idx="151">
                  <c:v>0.10706658336680175</c:v>
                </c:pt>
                <c:pt idx="152">
                  <c:v>0.10275058844324125</c:v>
                </c:pt>
                <c:pt idx="153">
                  <c:v>9.8562446286488137E-2</c:v>
                </c:pt>
                <c:pt idx="154">
                  <c:v>9.4500661724616575E-2</c:v>
                </c:pt>
                <c:pt idx="155">
                  <c:v>9.0563644309804792E-2</c:v>
                </c:pt>
                <c:pt idx="156">
                  <c:v>8.6749713868327971E-2</c:v>
                </c:pt>
                <c:pt idx="157">
                  <c:v>8.3057106079375886E-2</c:v>
                </c:pt>
                <c:pt idx="158">
                  <c:v>7.9483978066321126E-2</c:v>
                </c:pt>
                <c:pt idx="159">
                  <c:v>7.6028413984527421E-2</c:v>
                </c:pt>
                <c:pt idx="160">
                  <c:v>7.2688430590311381E-2</c:v>
                </c:pt>
                <c:pt idx="161">
                  <c:v>6.9461982776228059E-2</c:v>
                </c:pt>
                <c:pt idx="162">
                  <c:v>6.6346969058450167E-2</c:v>
                </c:pt>
                <c:pt idx="163">
                  <c:v>6.3341237002648154E-2</c:v>
                </c:pt>
                <c:pt idx="164">
                  <c:v>6.0442588575442935E-2</c:v>
                </c:pt>
                <c:pt idx="165">
                  <c:v>5.7648785409199044E-2</c:v>
                </c:pt>
                <c:pt idx="166">
                  <c:v>5.495755396863844E-2</c:v>
                </c:pt>
                <c:pt idx="167">
                  <c:v>5.2366590608498242E-2</c:v>
                </c:pt>
                <c:pt idx="168">
                  <c:v>4.987356651220165E-2</c:v>
                </c:pt>
                <c:pt idx="169">
                  <c:v>4.7476132502276447E-2</c:v>
                </c:pt>
                <c:pt idx="170">
                  <c:v>4.5171923714029116E-2</c:v>
                </c:pt>
                <c:pt idx="171">
                  <c:v>4.2958564124750964E-2</c:v>
                </c:pt>
                <c:pt idx="172">
                  <c:v>4.0833670931514798E-2</c:v>
                </c:pt>
                <c:pt idx="173">
                  <c:v>3.8794858771389773E-2</c:v>
                </c:pt>
                <c:pt idx="174">
                  <c:v>3.6839743778664835E-2</c:v>
                </c:pt>
                <c:pt idx="175">
                  <c:v>3.4965947474434489E-2</c:v>
                </c:pt>
                <c:pt idx="176">
                  <c:v>3.3171100484638227E-2</c:v>
                </c:pt>
                <c:pt idx="177">
                  <c:v>3.1452846083376396E-2</c:v>
                </c:pt>
                <c:pt idx="178">
                  <c:v>2.9808843559035902E-2</c:v>
                </c:pt>
                <c:pt idx="179">
                  <c:v>2.8236771401449978E-2</c:v>
                </c:pt>
                <c:pt idx="180">
                  <c:v>2.6734330308983312E-2</c:v>
                </c:pt>
                <c:pt idx="181">
                  <c:v>2.5299246015078602E-2</c:v>
                </c:pt>
                <c:pt idx="182">
                  <c:v>2.3929271934418517E-2</c:v>
                </c:pt>
                <c:pt idx="183">
                  <c:v>2.2622191629445565E-2</c:v>
                </c:pt>
                <c:pt idx="184">
                  <c:v>2.1375821098544523E-2</c:v>
                </c:pt>
                <c:pt idx="185">
                  <c:v>2.0188010887721153E-2</c:v>
                </c:pt>
                <c:pt idx="186">
                  <c:v>1.9056648028111245E-2</c:v>
                </c:pt>
                <c:pt idx="187">
                  <c:v>1.7979657802120075E-2</c:v>
                </c:pt>
                <c:pt idx="188">
                  <c:v>1.6955005341427909E-2</c:v>
                </c:pt>
                <c:pt idx="189">
                  <c:v>1.598069706049654E-2</c:v>
                </c:pt>
                <c:pt idx="190">
                  <c:v>1.5054781929584538E-2</c:v>
                </c:pt>
                <c:pt idx="191">
                  <c:v>1.4175352591607515E-2</c:v>
                </c:pt>
                <c:pt idx="192">
                  <c:v>1.3340546327487823E-2</c:v>
                </c:pt>
                <c:pt idx="193">
                  <c:v>1.2548545874904615E-2</c:v>
                </c:pt>
                <c:pt idx="194">
                  <c:v>1.1797580105590399E-2</c:v>
                </c:pt>
                <c:pt idx="195">
                  <c:v>1.1085924566529792E-2</c:v>
                </c:pt>
                <c:pt idx="196">
                  <c:v>1.0411901890585828E-2</c:v>
                </c:pt>
              </c:numCache>
            </c:numRef>
          </c:xVal>
          <c:yVal>
            <c:numRef>
              <c:f>Sheet1!$Q$6:$Q$202</c:f>
              <c:numCache>
                <c:formatCode>0.000</c:formatCode>
                <c:ptCount val="197"/>
                <c:pt idx="0">
                  <c:v>0.99047160110780441</c:v>
                </c:pt>
                <c:pt idx="1">
                  <c:v>0.98984753669331449</c:v>
                </c:pt>
                <c:pt idx="2">
                  <c:v>0.98918810810421498</c:v>
                </c:pt>
                <c:pt idx="3">
                  <c:v>0.98849170434673994</c:v>
                </c:pt>
                <c:pt idx="4">
                  <c:v>0.98775666697490827</c:v>
                </c:pt>
                <c:pt idx="5">
                  <c:v>0.98698129032790338</c:v>
                </c:pt>
                <c:pt idx="6">
                  <c:v>0.98616382189005258</c:v>
                </c:pt>
                <c:pt idx="7">
                  <c:v>0.98530246277912403</c:v>
                </c:pt>
                <c:pt idx="8">
                  <c:v>0.98439536836853192</c:v>
                </c:pt>
                <c:pt idx="9">
                  <c:v>0.98344064904887485</c:v>
                </c:pt>
                <c:pt idx="10">
                  <c:v>0.98243637113404259</c:v>
                </c:pt>
                <c:pt idx="11">
                  <c:v>0.98138055791689915</c:v>
                </c:pt>
                <c:pt idx="12">
                  <c:v>0.98027119087929748</c:v>
                </c:pt>
                <c:pt idx="13">
                  <c:v>0.97910621106088991</c:v>
                </c:pt>
                <c:pt idx="14">
                  <c:v>0.97788352059087558</c:v>
                </c:pt>
                <c:pt idx="15">
                  <c:v>0.97660098438647536</c:v>
                </c:pt>
                <c:pt idx="16">
                  <c:v>0.97525643202153212</c:v>
                </c:pt>
                <c:pt idx="17">
                  <c:v>0.97384765976821397</c:v>
                </c:pt>
                <c:pt idx="18">
                  <c:v>0.97237243281434727</c:v>
                </c:pt>
                <c:pt idx="19">
                  <c:v>0.97082848765841401</c:v>
                </c:pt>
                <c:pt idx="20">
                  <c:v>0.96921353468373594</c:v>
                </c:pt>
                <c:pt idx="21">
                  <c:v>0.9675252609128151</c:v>
                </c:pt>
                <c:pt idx="22">
                  <c:v>0.96576133294222422</c:v>
                </c:pt>
                <c:pt idx="23">
                  <c:v>0.96391940005783294</c:v>
                </c:pt>
                <c:pt idx="24">
                  <c:v>0.96199709752952178</c:v>
                </c:pt>
                <c:pt idx="25">
                  <c:v>0.95999205008387978</c:v>
                </c:pt>
                <c:pt idx="26">
                  <c:v>0.9579018755526949</c:v>
                </c:pt>
                <c:pt idx="27">
                  <c:v>0.95572418869434872</c:v>
                </c:pt>
                <c:pt idx="28">
                  <c:v>0.95345660518450159</c:v>
                </c:pt>
                <c:pt idx="29">
                  <c:v>0.95109674577171666</c:v>
                </c:pt>
                <c:pt idx="30">
                  <c:v>0.9486422405929209</c:v>
                </c:pt>
                <c:pt idx="31">
                  <c:v>0.94609073364283836</c:v>
                </c:pt>
                <c:pt idx="32">
                  <c:v>0.94343988739075979</c:v>
                </c:pt>
                <c:pt idx="33">
                  <c:v>0.94068738753723891</c:v>
                </c:pt>
                <c:pt idx="34">
                  <c:v>0.93783094790253163</c:v>
                </c:pt>
                <c:pt idx="35">
                  <c:v>0.93486831543782001</c:v>
                </c:pt>
                <c:pt idx="36">
                  <c:v>0.93179727534949486</c:v>
                </c:pt>
                <c:pt idx="37">
                  <c:v>0.92861565632601939</c:v>
                </c:pt>
                <c:pt idx="38">
                  <c:v>0.92532133585614518</c:v>
                </c:pt>
                <c:pt idx="39">
                  <c:v>0.9219122456265354</c:v>
                </c:pt>
                <c:pt idx="40">
                  <c:v>0.91838637698613845</c:v>
                </c:pt>
                <c:pt idx="41">
                  <c:v>0.91474178646398385</c:v>
                </c:pt>
                <c:pt idx="42">
                  <c:v>0.91097660132642011</c:v>
                </c:pt>
                <c:pt idx="43">
                  <c:v>0.90708902515920076</c:v>
                </c:pt>
                <c:pt idx="44">
                  <c:v>0.9030773434592495</c:v>
                </c:pt>
                <c:pt idx="45">
                  <c:v>0.89893992922039789</c:v>
                </c:pt>
                <c:pt idx="46">
                  <c:v>0.89467524849690183</c:v>
                </c:pt>
                <c:pt idx="47">
                  <c:v>0.89028186592809999</c:v>
                </c:pt>
                <c:pt idx="48">
                  <c:v>0.8857584502071929</c:v>
                </c:pt>
                <c:pt idx="49">
                  <c:v>0.88110377947678575</c:v>
                </c:pt>
                <c:pt idx="50">
                  <c:v>0.87631674663357018</c:v>
                </c:pt>
                <c:pt idx="51">
                  <c:v>0.87139636452430691</c:v>
                </c:pt>
                <c:pt idx="52">
                  <c:v>0.86634177101512977</c:v>
                </c:pt>
                <c:pt idx="53">
                  <c:v>0.86115223391611229</c:v>
                </c:pt>
                <c:pt idx="54">
                  <c:v>0.85582715574303414</c:v>
                </c:pt>
                <c:pt idx="55">
                  <c:v>0.85036607829834909</c:v>
                </c:pt>
                <c:pt idx="56">
                  <c:v>0.84476868705349484</c:v>
                </c:pt>
                <c:pt idx="57">
                  <c:v>0.83903481531490121</c:v>
                </c:pt>
                <c:pt idx="58">
                  <c:v>0.83316444815634361</c:v>
                </c:pt>
                <c:pt idx="59">
                  <c:v>0.82715772610065275</c:v>
                </c:pt>
                <c:pt idx="60">
                  <c:v>0.82101494853424117</c:v>
                </c:pt>
                <c:pt idx="61">
                  <c:v>0.81473657683842404</c:v>
                </c:pt>
                <c:pt idx="62">
                  <c:v>0.80832323722210841</c:v>
                </c:pt>
                <c:pt idx="63">
                  <c:v>0.8017757232411018</c:v>
                </c:pt>
                <c:pt idx="64">
                  <c:v>0.79509499799003203</c:v>
                </c:pt>
                <c:pt idx="65">
                  <c:v>0.78828219595369264</c:v>
                </c:pt>
                <c:pt idx="66">
                  <c:v>0.78133862450551439</c:v>
                </c:pt>
                <c:pt idx="67">
                  <c:v>0.77426576504181899</c:v>
                </c:pt>
                <c:pt idx="68">
                  <c:v>0.76706527374153399</c:v>
                </c:pt>
                <c:pt idx="69">
                  <c:v>0.75973898194212497</c:v>
                </c:pt>
                <c:pt idx="70">
                  <c:v>0.75228889612364191</c:v>
                </c:pt>
                <c:pt idx="71">
                  <c:v>0.74471719749396825</c:v>
                </c:pt>
                <c:pt idx="72">
                  <c:v>0.73702624116959981</c:v>
                </c:pt>
                <c:pt idx="73">
                  <c:v>0.72921855494756627</c:v>
                </c:pt>
                <c:pt idx="74">
                  <c:v>0.72129683766542974</c:v>
                </c:pt>
                <c:pt idx="75">
                  <c:v>0.71326395714765112</c:v>
                </c:pt>
                <c:pt idx="76">
                  <c:v>0.70512294773800033</c:v>
                </c:pt>
                <c:pt idx="77">
                  <c:v>0.69687700741908998</c:v>
                </c:pt>
                <c:pt idx="78">
                  <c:v>0.68852949452153689</c:v>
                </c:pt>
                <c:pt idx="79">
                  <c:v>0.68008392402668238</c:v>
                </c:pt>
                <c:pt idx="80">
                  <c:v>0.67154396346824363</c:v>
                </c:pt>
                <c:pt idx="81">
                  <c:v>0.66291342843969248</c:v>
                </c:pt>
                <c:pt idx="82">
                  <c:v>0.65419627771558408</c:v>
                </c:pt>
                <c:pt idx="83">
                  <c:v>0.64539660799646237</c:v>
                </c:pt>
                <c:pt idx="84">
                  <c:v>0.63651864828834992</c:v>
                </c:pt>
                <c:pt idx="85">
                  <c:v>0.62756675392918349</c:v>
                </c:pt>
                <c:pt idx="86">
                  <c:v>0.61854540027587424</c:v>
                </c:pt>
                <c:pt idx="87">
                  <c:v>0.60945917606694633</c:v>
                </c:pt>
                <c:pt idx="88">
                  <c:v>0.60031277647693204</c:v>
                </c:pt>
                <c:pt idx="89">
                  <c:v>0.59111099587987681</c:v>
                </c:pt>
                <c:pt idx="90">
                  <c:v>0.58185872034041919</c:v>
                </c:pt>
                <c:pt idx="91">
                  <c:v>0.57256091985195567</c:v>
                </c:pt>
                <c:pt idx="92">
                  <c:v>0.56322264034237901</c:v>
                </c:pt>
                <c:pt idx="93">
                  <c:v>0.55384899546877853</c:v>
                </c:pt>
                <c:pt idx="94">
                  <c:v>0.5444451582233123</c:v>
                </c:pt>
                <c:pt idx="95">
                  <c:v>0.535016352373196</c:v>
                </c:pt>
                <c:pt idx="96">
                  <c:v>0.52556784375840593</c:v>
                </c:pt>
                <c:pt idx="97">
                  <c:v>0.51610493147124825</c:v>
                </c:pt>
                <c:pt idx="98">
                  <c:v>0.5066329389424129</c:v>
                </c:pt>
                <c:pt idx="99">
                  <c:v>0.49715720495849869</c:v>
                </c:pt>
                <c:pt idx="100">
                  <c:v>0.4876830746362637</c:v>
                </c:pt>
                <c:pt idx="101">
                  <c:v>0.47821589037903034</c:v>
                </c:pt>
                <c:pt idx="102">
                  <c:v>0.46876098284074064</c:v>
                </c:pt>
                <c:pt idx="103">
                  <c:v>0.45932366192312846</c:v>
                </c:pt>
                <c:pt idx="104">
                  <c:v>0.44990920783134636</c:v>
                </c:pt>
                <c:pt idx="105">
                  <c:v>0.44052286221315207</c:v>
                </c:pt>
                <c:pt idx="106">
                  <c:v>0.43116981940643073</c:v>
                </c:pt>
                <c:pt idx="107">
                  <c:v>0.42185521781940549</c:v>
                </c:pt>
                <c:pt idx="108">
                  <c:v>0.41258413146736406</c:v>
                </c:pt>
                <c:pt idx="109">
                  <c:v>0.40336156168911907</c:v>
                </c:pt>
                <c:pt idx="110">
                  <c:v>0.39419242906571728</c:v>
                </c:pt>
                <c:pt idx="111">
                  <c:v>0.38508156556312323</c:v>
                </c:pt>
                <c:pt idx="112">
                  <c:v>0.37603370691973459</c:v>
                </c:pt>
                <c:pt idx="113">
                  <c:v>0.36705348529864212</c:v>
                </c:pt>
                <c:pt idx="114">
                  <c:v>0.35814542222352241</c:v>
                </c:pt>
                <c:pt idx="115">
                  <c:v>0.3493139218159711</c:v>
                </c:pt>
                <c:pt idx="116">
                  <c:v>0.34056326435092921</c:v>
                </c:pt>
                <c:pt idx="117">
                  <c:v>0.33189760014565572</c:v>
                </c:pt>
                <c:pt idx="118">
                  <c:v>0.32332094379643705</c:v>
                </c:pt>
                <c:pt idx="119">
                  <c:v>0.31483716877592971</c:v>
                </c:pt>
                <c:pt idx="120">
                  <c:v>0.30645000240268483</c:v>
                </c:pt>
                <c:pt idx="121">
                  <c:v>0.29816302119304317</c:v>
                </c:pt>
                <c:pt idx="122">
                  <c:v>0.28997964660418041</c:v>
                </c:pt>
                <c:pt idx="123">
                  <c:v>0.28190314117567561</c:v>
                </c:pt>
                <c:pt idx="124">
                  <c:v>0.27393660507554407</c:v>
                </c:pt>
                <c:pt idx="125">
                  <c:v>0.26608297305524164</c:v>
                </c:pt>
                <c:pt idx="126">
                  <c:v>0.25834501181671521</c:v>
                </c:pt>
                <c:pt idx="127">
                  <c:v>0.25072531779314755</c:v>
                </c:pt>
                <c:pt idx="128">
                  <c:v>0.24322631534363082</c:v>
                </c:pt>
                <c:pt idx="129">
                  <c:v>0.23585025536061177</c:v>
                </c:pt>
                <c:pt idx="130">
                  <c:v>0.22859921428758079</c:v>
                </c:pt>
                <c:pt idx="131">
                  <c:v>0.22147509354314254</c:v>
                </c:pt>
                <c:pt idx="132">
                  <c:v>0.21447961934630466</c:v>
                </c:pt>
                <c:pt idx="133">
                  <c:v>0.207614342936562</c:v>
                </c:pt>
                <c:pt idx="134">
                  <c:v>0.20088064118114579</c:v>
                </c:pt>
                <c:pt idx="135">
                  <c:v>0.19427971756064044</c:v>
                </c:pt>
                <c:pt idx="136">
                  <c:v>0.18781260352307427</c:v>
                </c:pt>
                <c:pt idx="137">
                  <c:v>0.18148016019553825</c:v>
                </c:pt>
                <c:pt idx="138">
                  <c:v>0.17528308044141139</c:v>
                </c:pt>
                <c:pt idx="139">
                  <c:v>0.16922189125034937</c:v>
                </c:pt>
                <c:pt idx="140">
                  <c:v>0.16329695644735187</c:v>
                </c:pt>
                <c:pt idx="141">
                  <c:v>0.1575084797064461</c:v>
                </c:pt>
                <c:pt idx="142">
                  <c:v>0.1518565078538211</c:v>
                </c:pt>
                <c:pt idx="143">
                  <c:v>0.14634093444462271</c:v>
                </c:pt>
                <c:pt idx="144">
                  <c:v>0.14096150359706394</c:v>
                </c:pt>
                <c:pt idx="145">
                  <c:v>0.13571781406703531</c:v>
                </c:pt>
                <c:pt idx="146">
                  <c:v>0.13060932354599686</c:v>
                </c:pt>
                <c:pt idx="147">
                  <c:v>0.12563535316461538</c:v>
                </c:pt>
                <c:pt idx="148">
                  <c:v>0.12079509218436491</c:v>
                </c:pt>
                <c:pt idx="149">
                  <c:v>0.11608760285913955</c:v>
                </c:pt>
                <c:pt idx="150">
                  <c:v>0.11151182544883054</c:v>
                </c:pt>
                <c:pt idx="151">
                  <c:v>0.10706658336680175</c:v>
                </c:pt>
                <c:pt idx="152">
                  <c:v>0.10275058844324125</c:v>
                </c:pt>
                <c:pt idx="153">
                  <c:v>9.8562446286488137E-2</c:v>
                </c:pt>
                <c:pt idx="154">
                  <c:v>9.4500661724616575E-2</c:v>
                </c:pt>
                <c:pt idx="155">
                  <c:v>9.0563644309804792E-2</c:v>
                </c:pt>
                <c:pt idx="156">
                  <c:v>8.6749713868327971E-2</c:v>
                </c:pt>
                <c:pt idx="157">
                  <c:v>8.3057106079375886E-2</c:v>
                </c:pt>
                <c:pt idx="158">
                  <c:v>7.9483978066321126E-2</c:v>
                </c:pt>
                <c:pt idx="159">
                  <c:v>7.6028413984527421E-2</c:v>
                </c:pt>
                <c:pt idx="160">
                  <c:v>7.2688430590311381E-2</c:v>
                </c:pt>
                <c:pt idx="161">
                  <c:v>6.9461982776228059E-2</c:v>
                </c:pt>
                <c:pt idx="162">
                  <c:v>6.6346969058450167E-2</c:v>
                </c:pt>
                <c:pt idx="163">
                  <c:v>6.3341237002648154E-2</c:v>
                </c:pt>
                <c:pt idx="164">
                  <c:v>6.0442588575442935E-2</c:v>
                </c:pt>
                <c:pt idx="165">
                  <c:v>5.7648785409199044E-2</c:v>
                </c:pt>
                <c:pt idx="166">
                  <c:v>5.495755396863844E-2</c:v>
                </c:pt>
                <c:pt idx="167">
                  <c:v>5.2366590608498242E-2</c:v>
                </c:pt>
                <c:pt idx="168">
                  <c:v>4.987356651220165E-2</c:v>
                </c:pt>
                <c:pt idx="169">
                  <c:v>4.7476132502276447E-2</c:v>
                </c:pt>
                <c:pt idx="170">
                  <c:v>4.5171923714029116E-2</c:v>
                </c:pt>
                <c:pt idx="171">
                  <c:v>4.2958564124750964E-2</c:v>
                </c:pt>
                <c:pt idx="172">
                  <c:v>4.0833670931514798E-2</c:v>
                </c:pt>
                <c:pt idx="173">
                  <c:v>3.8794858771389773E-2</c:v>
                </c:pt>
                <c:pt idx="174">
                  <c:v>3.6839743778664835E-2</c:v>
                </c:pt>
                <c:pt idx="175">
                  <c:v>3.4965947474434489E-2</c:v>
                </c:pt>
                <c:pt idx="176">
                  <c:v>3.3171100484638227E-2</c:v>
                </c:pt>
                <c:pt idx="177">
                  <c:v>3.1452846083376396E-2</c:v>
                </c:pt>
                <c:pt idx="178">
                  <c:v>2.9808843559035902E-2</c:v>
                </c:pt>
                <c:pt idx="179">
                  <c:v>2.8236771401449978E-2</c:v>
                </c:pt>
                <c:pt idx="180">
                  <c:v>2.6734330308983312E-2</c:v>
                </c:pt>
                <c:pt idx="181">
                  <c:v>2.5299246015078602E-2</c:v>
                </c:pt>
                <c:pt idx="182">
                  <c:v>2.3929271934418517E-2</c:v>
                </c:pt>
                <c:pt idx="183">
                  <c:v>2.2622191629445565E-2</c:v>
                </c:pt>
                <c:pt idx="184">
                  <c:v>2.1375821098544523E-2</c:v>
                </c:pt>
                <c:pt idx="185">
                  <c:v>2.0188010887721153E-2</c:v>
                </c:pt>
                <c:pt idx="186">
                  <c:v>1.9056648028111245E-2</c:v>
                </c:pt>
                <c:pt idx="187">
                  <c:v>1.7979657802120075E-2</c:v>
                </c:pt>
                <c:pt idx="188">
                  <c:v>1.6955005341427909E-2</c:v>
                </c:pt>
                <c:pt idx="189">
                  <c:v>1.598069706049654E-2</c:v>
                </c:pt>
                <c:pt idx="190">
                  <c:v>1.5054781929584538E-2</c:v>
                </c:pt>
                <c:pt idx="191">
                  <c:v>1.4175352591607515E-2</c:v>
                </c:pt>
                <c:pt idx="192">
                  <c:v>1.3340546327487823E-2</c:v>
                </c:pt>
                <c:pt idx="193">
                  <c:v>1.2548545874904615E-2</c:v>
                </c:pt>
                <c:pt idx="194">
                  <c:v>1.1797580105590399E-2</c:v>
                </c:pt>
                <c:pt idx="195">
                  <c:v>1.1085924566529792E-2</c:v>
                </c:pt>
                <c:pt idx="196">
                  <c:v>1.0411901890585828E-2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9C-4898-81E3-B6AC6F4BD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12288"/>
        <c:axId val="146414976"/>
      </c:scatterChart>
      <c:valAx>
        <c:axId val="146412288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1-Specificity = P(False +) = P(T+|F)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46414976"/>
        <c:crosses val="autoZero"/>
        <c:crossBetween val="midCat"/>
      </c:valAx>
      <c:valAx>
        <c:axId val="146414976"/>
        <c:scaling>
          <c:orientation val="minMax"/>
          <c:max val="1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Sensitivity = P(True +) = P(T+|M)</a:t>
                </a:r>
              </a:p>
            </c:rich>
          </c:tx>
          <c:overlay val="0"/>
        </c:title>
        <c:numFmt formatCode="0.000" sourceLinked="1"/>
        <c:majorTickMark val="none"/>
        <c:minorTickMark val="none"/>
        <c:tickLblPos val="nextTo"/>
        <c:crossAx val="146412288"/>
        <c:crosses val="autoZero"/>
        <c:crossBetween val="midCat"/>
      </c:valAx>
      <c:spPr>
        <a:solidFill>
          <a:srgbClr val="002060"/>
        </a:solidFill>
      </c:spPr>
    </c:plotArea>
    <c:legend>
      <c:legendPos val="r"/>
      <c:overlay val="0"/>
      <c:spPr>
        <a:solidFill>
          <a:srgbClr val="002060"/>
        </a:solidFill>
      </c:spPr>
      <c:txPr>
        <a:bodyPr/>
        <a:lstStyle/>
        <a:p>
          <a:pPr>
            <a:defRPr baseline="0">
              <a:solidFill>
                <a:srgbClr val="FFFF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99FFCC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/>
  <sheetViews>
    <sheetView zoomScale="14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tabSelected="1"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2413" cy="628117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0.12289</cdr:x>
      <cdr:y>0.14316</cdr:y>
    </cdr:from>
    <cdr:to>
      <cdr:x>0.3894</cdr:x>
      <cdr:y>0.26405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65734" y="899213"/>
          <a:ext cx="2311311" cy="7593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>
              <a:solidFill>
                <a:srgbClr val="FFFF00"/>
              </a:solidFill>
            </a:rPr>
            <a:t>Females: </a:t>
          </a:r>
          <a:r>
            <a:rPr lang="en-US" sz="1100">
              <a:solidFill>
                <a:srgbClr val="FFFF00"/>
              </a:solidFill>
              <a:latin typeface="Symbol" panose="05050102010706020507" pitchFamily="18" charset="2"/>
            </a:rPr>
            <a:t>m</a:t>
          </a:r>
          <a:r>
            <a:rPr lang="en-US" sz="1100" baseline="-25000">
              <a:solidFill>
                <a:srgbClr val="FFFF00"/>
              </a:solidFill>
              <a:latin typeface="+mn-lt"/>
            </a:rPr>
            <a:t>F</a:t>
          </a:r>
          <a:r>
            <a:rPr lang="en-US" sz="1100" baseline="0">
              <a:solidFill>
                <a:srgbClr val="FFFF00"/>
              </a:solidFill>
              <a:latin typeface="+mn-lt"/>
            </a:rPr>
            <a:t> = 23.135   </a:t>
          </a:r>
          <a:r>
            <a:rPr lang="en-US" sz="1100" baseline="0">
              <a:solidFill>
                <a:srgbClr val="FFFF00"/>
              </a:solidFill>
              <a:latin typeface="Symbol" panose="05050102010706020507" pitchFamily="18" charset="2"/>
            </a:rPr>
            <a:t>s</a:t>
          </a:r>
          <a:r>
            <a:rPr lang="en-US" sz="1100" baseline="-25000">
              <a:solidFill>
                <a:srgbClr val="FFFF00"/>
              </a:solidFill>
              <a:latin typeface="+mn-lt"/>
            </a:rPr>
            <a:t>F</a:t>
          </a:r>
          <a:r>
            <a:rPr lang="en-US" sz="1100" baseline="0">
              <a:solidFill>
                <a:srgbClr val="FFFF00"/>
              </a:solidFill>
              <a:latin typeface="+mn-lt"/>
            </a:rPr>
            <a:t> </a:t>
          </a:r>
          <a:r>
            <a:rPr lang="en-US" sz="110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= 2.105</a:t>
          </a:r>
        </a:p>
        <a:p xmlns:a="http://schemas.openxmlformats.org/drawingml/2006/main">
          <a:endParaRPr lang="en-US" sz="1100" baseline="0">
            <a:solidFill>
              <a:srgbClr val="FFFF00"/>
            </a:solidFill>
            <a:effectLst/>
            <a:latin typeface="+mn-lt"/>
            <a:ea typeface="+mn-ea"/>
            <a:cs typeface="+mn-cs"/>
          </a:endParaRPr>
        </a:p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Males: </a:t>
          </a:r>
          <a:r>
            <a:rPr lang="en-US" sz="1100">
              <a:solidFill>
                <a:srgbClr val="FFFF00"/>
              </a:solidFill>
              <a:effectLst/>
              <a:latin typeface="Symbol" panose="05050102010706020507" pitchFamily="18" charset="2"/>
              <a:ea typeface="+mn-ea"/>
              <a:cs typeface="+mn-cs"/>
            </a:rPr>
            <a:t>m</a:t>
          </a:r>
          <a:r>
            <a:rPr lang="en-US" sz="1100" baseline="-250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= 24.741   </a:t>
          </a:r>
          <a:r>
            <a:rPr lang="en-US" sz="1100" baseline="0">
              <a:solidFill>
                <a:srgbClr val="FFFF00"/>
              </a:solidFill>
              <a:effectLst/>
              <a:latin typeface="Symbol" panose="05050102010706020507" pitchFamily="18" charset="2"/>
              <a:ea typeface="+mn-ea"/>
              <a:cs typeface="+mn-cs"/>
            </a:rPr>
            <a:t>s</a:t>
          </a:r>
          <a:r>
            <a:rPr lang="en-US" sz="1100" baseline="-2500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M</a:t>
          </a:r>
          <a:r>
            <a:rPr lang="en-US" sz="1100" baseline="0">
              <a:solidFill>
                <a:srgbClr val="FFFF00"/>
              </a:solidFill>
              <a:effectLst/>
              <a:latin typeface="+mn-lt"/>
              <a:ea typeface="+mn-ea"/>
              <a:cs typeface="+mn-cs"/>
            </a:rPr>
            <a:t> = 1.720</a:t>
          </a:r>
          <a:endParaRPr lang="en-US">
            <a:solidFill>
              <a:srgbClr val="FFFF00"/>
            </a:solidFill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02"/>
  <sheetViews>
    <sheetView topLeftCell="A172" workbookViewId="0">
      <selection activeCell="L206" sqref="L206"/>
    </sheetView>
  </sheetViews>
  <sheetFormatPr defaultRowHeight="15" x14ac:dyDescent="0.25"/>
  <cols>
    <col min="3" max="3" width="12" bestFit="1" customWidth="1"/>
    <col min="8" max="8" width="12.7109375" customWidth="1"/>
    <col min="9" max="12" width="10.7109375" customWidth="1"/>
    <col min="20" max="20" width="12.7109375" customWidth="1"/>
    <col min="30" max="30" width="12.7109375" customWidth="1"/>
    <col min="31" max="31" width="11.7109375" customWidth="1"/>
  </cols>
  <sheetData>
    <row r="1" spans="1:32" x14ac:dyDescent="0.25">
      <c r="A1" t="s">
        <v>0</v>
      </c>
      <c r="B1" t="s">
        <v>1</v>
      </c>
      <c r="C1" t="s">
        <v>2</v>
      </c>
    </row>
    <row r="2" spans="1:32" x14ac:dyDescent="0.25">
      <c r="A2">
        <v>15</v>
      </c>
      <c r="B2">
        <f>_xlfn.NORM.DIST(A2,23.135,2.105,0)</f>
        <v>1.0827331957915375E-4</v>
      </c>
      <c r="C2">
        <f>_xlfn.NORM.DIST(A2,24.741,1.72,0)</f>
        <v>2.5156373423914913E-8</v>
      </c>
      <c r="I2" t="s">
        <v>3</v>
      </c>
      <c r="J2" t="s">
        <v>3</v>
      </c>
      <c r="K2" t="s">
        <v>6</v>
      </c>
      <c r="L2" t="s">
        <v>6</v>
      </c>
    </row>
    <row r="3" spans="1:32" x14ac:dyDescent="0.25">
      <c r="A3">
        <f>A2+0.025</f>
        <v>15.025</v>
      </c>
      <c r="B3">
        <f t="shared" ref="B3:B66" si="0">_xlfn.NORM.DIST(A3,23.135,2.105,0)</f>
        <v>1.1335066001600802E-4</v>
      </c>
      <c r="C3">
        <f t="shared" ref="C3:C66" si="1">_xlfn.NORM.DIST(A3,24.741,1.72,0)</f>
        <v>2.7311889066120389E-8</v>
      </c>
      <c r="I3" t="s">
        <v>4</v>
      </c>
      <c r="J3" t="s">
        <v>5</v>
      </c>
      <c r="K3" t="s">
        <v>4</v>
      </c>
      <c r="L3" t="s">
        <v>5</v>
      </c>
    </row>
    <row r="4" spans="1:32" x14ac:dyDescent="0.25">
      <c r="A4">
        <f t="shared" ref="A4:A67" si="2">A3+0.025</f>
        <v>15.05</v>
      </c>
      <c r="B4">
        <f t="shared" si="0"/>
        <v>1.1864935913609515E-4</v>
      </c>
      <c r="C4">
        <f t="shared" si="1"/>
        <v>2.9645835637065441E-8</v>
      </c>
      <c r="I4" s="1">
        <v>23.135000000000002</v>
      </c>
      <c r="J4" s="1">
        <v>2.105</v>
      </c>
      <c r="K4" s="1">
        <v>24.741</v>
      </c>
      <c r="L4" s="1">
        <v>1.72</v>
      </c>
      <c r="O4" t="s">
        <v>13</v>
      </c>
      <c r="P4" t="s">
        <v>15</v>
      </c>
    </row>
    <row r="5" spans="1:32" x14ac:dyDescent="0.25">
      <c r="A5">
        <f t="shared" si="2"/>
        <v>15.075000000000001</v>
      </c>
      <c r="B5">
        <f t="shared" si="0"/>
        <v>1.2417823498842042E-4</v>
      </c>
      <c r="C5">
        <f t="shared" si="1"/>
        <v>3.2172432831394089E-8</v>
      </c>
      <c r="H5" t="s">
        <v>11</v>
      </c>
      <c r="I5" s="1" t="s">
        <v>7</v>
      </c>
      <c r="J5" s="1" t="s">
        <v>8</v>
      </c>
      <c r="K5" s="1" t="s">
        <v>9</v>
      </c>
      <c r="L5" s="1" t="s">
        <v>10</v>
      </c>
      <c r="O5" s="1" t="s">
        <v>12</v>
      </c>
      <c r="P5" s="1" t="s">
        <v>14</v>
      </c>
      <c r="Q5" s="1" t="s">
        <v>16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>
        <f t="shared" si="2"/>
        <v>15.100000000000001</v>
      </c>
      <c r="B6">
        <f t="shared" si="0"/>
        <v>1.2994641751815666E-4</v>
      </c>
      <c r="C6">
        <f t="shared" si="1"/>
        <v>3.4906986572691699E-8</v>
      </c>
      <c r="H6">
        <f t="shared" ref="H6:H19" si="3">H7-0.05</f>
        <v>18.199999999999928</v>
      </c>
      <c r="I6" s="1">
        <f t="shared" ref="I6:I19" si="4">($H6-I$4)/J$4</f>
        <v>-2.3444180522565667</v>
      </c>
      <c r="J6" s="1">
        <f t="shared" ref="J6:J19" si="5">_xlfn.NORM.DIST(I6,0,1,1)</f>
        <v>9.5283988921955748E-3</v>
      </c>
      <c r="K6" s="1">
        <f t="shared" ref="K6:K19" si="6">($H6-K$4)/L$4</f>
        <v>-3.8029069767442278</v>
      </c>
      <c r="L6" s="1">
        <f t="shared" ref="L6:L19" si="7">1-_xlfn.NORM.DIST(K6,0,1,1)</f>
        <v>0.99992849596753297</v>
      </c>
      <c r="O6" s="1">
        <f t="shared" ref="O6:O19" si="8">1-J6</f>
        <v>0.99047160110780441</v>
      </c>
      <c r="P6" s="1">
        <f t="shared" ref="P6:P19" si="9">L6</f>
        <v>0.99992849596753297</v>
      </c>
      <c r="Q6" s="1">
        <f>O6</f>
        <v>0.99047160110780441</v>
      </c>
      <c r="V6" s="3">
        <v>20</v>
      </c>
      <c r="W6" s="4">
        <f>(V6-23.135)/2.105</f>
        <v>-1.4893111638954877</v>
      </c>
      <c r="X6" s="4">
        <f>(V6-24.741)/1.72</f>
        <v>-2.7563953488372093</v>
      </c>
      <c r="Y6" s="4">
        <f>_xlfn.NORM.DIST(W6,0,1,1)</f>
        <v>6.8202724650507973E-2</v>
      </c>
      <c r="Z6" s="4">
        <f>1-Y6</f>
        <v>0.93179727534949208</v>
      </c>
      <c r="AA6" s="4">
        <f>_xlfn.NORM.DIST(X6,0,1,1)</f>
        <v>2.9221155423060983E-3</v>
      </c>
      <c r="AB6" s="4">
        <f>1-AA6</f>
        <v>0.99707788445769385</v>
      </c>
      <c r="AC6" s="4">
        <f>Y6</f>
        <v>6.8202724650507973E-2</v>
      </c>
      <c r="AD6" s="4">
        <f t="shared" ref="AD6:AF6" si="10">Z6</f>
        <v>0.93179727534949208</v>
      </c>
      <c r="AE6" s="4">
        <f t="shared" si="10"/>
        <v>2.9221155423060983E-3</v>
      </c>
      <c r="AF6" s="4">
        <f t="shared" si="10"/>
        <v>0.99707788445769385</v>
      </c>
    </row>
    <row r="7" spans="1:32" x14ac:dyDescent="0.25">
      <c r="A7">
        <f t="shared" si="2"/>
        <v>15.125000000000002</v>
      </c>
      <c r="B7">
        <f t="shared" si="0"/>
        <v>1.3596335783013205E-4</v>
      </c>
      <c r="C7">
        <f t="shared" si="1"/>
        <v>3.7865968105914455E-8</v>
      </c>
      <c r="H7">
        <f t="shared" si="3"/>
        <v>18.249999999999929</v>
      </c>
      <c r="I7" s="1">
        <f t="shared" si="4"/>
        <v>-2.3206650831354265</v>
      </c>
      <c r="J7" s="1">
        <f t="shared" si="5"/>
        <v>1.0152463306685523E-2</v>
      </c>
      <c r="K7" s="1">
        <f t="shared" si="6"/>
        <v>-3.7738372093023669</v>
      </c>
      <c r="L7" s="1">
        <f t="shared" si="7"/>
        <v>0.99991962216003505</v>
      </c>
      <c r="O7" s="1">
        <f t="shared" si="8"/>
        <v>0.98984753669331449</v>
      </c>
      <c r="P7" s="1">
        <f t="shared" si="9"/>
        <v>0.99991962216003505</v>
      </c>
      <c r="Q7" s="1">
        <f t="shared" ref="Q7:Q70" si="11">O7</f>
        <v>0.98984753669331449</v>
      </c>
      <c r="V7" s="3">
        <v>21</v>
      </c>
      <c r="W7" s="4">
        <f t="shared" ref="W7:W14" si="12">(V7-23.135)/2.105</f>
        <v>-1.0142517814726848</v>
      </c>
      <c r="X7" s="4">
        <f t="shared" ref="X7:X14" si="13">(V7-24.741)/1.72</f>
        <v>-2.1749999999999998</v>
      </c>
      <c r="Y7" s="4">
        <f t="shared" ref="Y7:Y14" si="14">_xlfn.NORM.DIST(W7,0,1,1)</f>
        <v>0.15523131294650888</v>
      </c>
      <c r="Z7" s="4">
        <f t="shared" ref="Z7:Z14" si="15">1-Y7</f>
        <v>0.84476868705349117</v>
      </c>
      <c r="AA7" s="4">
        <f t="shared" ref="AA7:AA14" si="16">_xlfn.NORM.DIST(X7,0,1,1)</f>
        <v>1.4815058192609913E-2</v>
      </c>
      <c r="AB7" s="4">
        <f t="shared" ref="AB7:AB14" si="17">1-AA7</f>
        <v>0.98518494180739014</v>
      </c>
      <c r="AC7" s="4">
        <f t="shared" ref="AC7:AC14" si="18">Y7</f>
        <v>0.15523131294650888</v>
      </c>
      <c r="AD7" s="4">
        <f t="shared" ref="AD7:AD14" si="19">Z7</f>
        <v>0.84476868705349117</v>
      </c>
      <c r="AE7" s="4">
        <f t="shared" ref="AE7:AE14" si="20">AA7</f>
        <v>1.4815058192609913E-2</v>
      </c>
      <c r="AF7" s="4">
        <f t="shared" ref="AF7:AF14" si="21">AB7</f>
        <v>0.98518494180739014</v>
      </c>
    </row>
    <row r="8" spans="1:32" x14ac:dyDescent="0.25">
      <c r="A8">
        <f t="shared" si="2"/>
        <v>15.150000000000002</v>
      </c>
      <c r="B8">
        <f t="shared" si="0"/>
        <v>1.4223883765157372E-4</v>
      </c>
      <c r="C8">
        <f t="shared" si="1"/>
        <v>4.1067098538506448E-8</v>
      </c>
      <c r="H8">
        <f t="shared" si="3"/>
        <v>18.29999999999993</v>
      </c>
      <c r="I8" s="1">
        <f t="shared" si="4"/>
        <v>-2.2969121140142859</v>
      </c>
      <c r="J8" s="1">
        <f t="shared" si="5"/>
        <v>1.0811891895785061E-2</v>
      </c>
      <c r="K8" s="1">
        <f t="shared" si="6"/>
        <v>-3.7447674418605059</v>
      </c>
      <c r="L8" s="1">
        <f t="shared" si="7"/>
        <v>0.99990971952579899</v>
      </c>
      <c r="O8" s="1">
        <f t="shared" si="8"/>
        <v>0.98918810810421498</v>
      </c>
      <c r="P8" s="1">
        <f t="shared" si="9"/>
        <v>0.99990971952579899</v>
      </c>
      <c r="Q8" s="1">
        <f t="shared" si="11"/>
        <v>0.98918810810421498</v>
      </c>
      <c r="V8" s="3">
        <v>22</v>
      </c>
      <c r="W8" s="4">
        <f t="shared" si="12"/>
        <v>-0.53919239904988203</v>
      </c>
      <c r="X8" s="4">
        <f t="shared" si="13"/>
        <v>-1.5936046511627906</v>
      </c>
      <c r="Y8" s="4">
        <f t="shared" si="14"/>
        <v>0.29487705226200267</v>
      </c>
      <c r="Z8" s="4">
        <f t="shared" si="15"/>
        <v>0.70512294773799733</v>
      </c>
      <c r="AA8" s="4">
        <f t="shared" si="16"/>
        <v>5.5512306041659784E-2</v>
      </c>
      <c r="AB8" s="4">
        <f t="shared" si="17"/>
        <v>0.9444876939583402</v>
      </c>
      <c r="AC8" s="4">
        <f t="shared" si="18"/>
        <v>0.29487705226200267</v>
      </c>
      <c r="AD8" s="4">
        <f t="shared" si="19"/>
        <v>0.70512294773799733</v>
      </c>
      <c r="AE8" s="4">
        <f t="shared" si="20"/>
        <v>5.5512306041659784E-2</v>
      </c>
      <c r="AF8" s="4">
        <f t="shared" si="21"/>
        <v>0.9444876939583402</v>
      </c>
    </row>
    <row r="9" spans="1:32" x14ac:dyDescent="0.25">
      <c r="A9">
        <f t="shared" si="2"/>
        <v>15.175000000000002</v>
      </c>
      <c r="B9">
        <f t="shared" si="0"/>
        <v>1.4878297899517125E-4</v>
      </c>
      <c r="C9">
        <f t="shared" si="1"/>
        <v>4.4529439181646592E-8</v>
      </c>
      <c r="H9">
        <f t="shared" si="3"/>
        <v>18.34999999999993</v>
      </c>
      <c r="I9" s="1">
        <f t="shared" si="4"/>
        <v>-2.2731591448931456</v>
      </c>
      <c r="J9" s="1">
        <f t="shared" si="5"/>
        <v>1.150829565326005E-2</v>
      </c>
      <c r="K9" s="1">
        <f t="shared" si="6"/>
        <v>-3.715697674418645</v>
      </c>
      <c r="L9" s="1">
        <f t="shared" si="7"/>
        <v>0.99989867811678712</v>
      </c>
      <c r="O9" s="1">
        <f t="shared" si="8"/>
        <v>0.98849170434673994</v>
      </c>
      <c r="P9" s="1">
        <f t="shared" si="9"/>
        <v>0.99989867811678712</v>
      </c>
      <c r="Q9" s="1">
        <f t="shared" si="11"/>
        <v>0.98849170434673994</v>
      </c>
      <c r="V9" s="3">
        <v>23</v>
      </c>
      <c r="W9" s="4">
        <f t="shared" si="12"/>
        <v>-6.4133016627079126E-2</v>
      </c>
      <c r="X9" s="4">
        <f t="shared" si="13"/>
        <v>-1.0122093023255812</v>
      </c>
      <c r="Y9" s="4">
        <f t="shared" si="14"/>
        <v>0.47443215624159474</v>
      </c>
      <c r="Z9" s="4">
        <f t="shared" si="15"/>
        <v>0.52556784375840526</v>
      </c>
      <c r="AA9" s="4">
        <f t="shared" si="16"/>
        <v>0.15571899468754621</v>
      </c>
      <c r="AB9" s="4">
        <f t="shared" si="17"/>
        <v>0.84428100531245376</v>
      </c>
      <c r="AC9" s="4">
        <f t="shared" si="18"/>
        <v>0.47443215624159474</v>
      </c>
      <c r="AD9" s="4">
        <f t="shared" si="19"/>
        <v>0.52556784375840526</v>
      </c>
      <c r="AE9" s="4">
        <f t="shared" si="20"/>
        <v>0.15571899468754621</v>
      </c>
      <c r="AF9" s="4">
        <f t="shared" si="21"/>
        <v>0.84428100531245376</v>
      </c>
    </row>
    <row r="10" spans="1:32" x14ac:dyDescent="0.25">
      <c r="A10">
        <f t="shared" si="2"/>
        <v>15.200000000000003</v>
      </c>
      <c r="B10">
        <f t="shared" si="0"/>
        <v>1.5560625402336926E-4</v>
      </c>
      <c r="C10">
        <f t="shared" si="1"/>
        <v>4.8273488063959618E-8</v>
      </c>
      <c r="H10">
        <f t="shared" si="3"/>
        <v>18.399999999999931</v>
      </c>
      <c r="I10" s="1">
        <f t="shared" si="4"/>
        <v>-2.249406175772005</v>
      </c>
      <c r="J10" s="1">
        <f t="shared" si="5"/>
        <v>1.2243333025091778E-2</v>
      </c>
      <c r="K10" s="1">
        <f t="shared" si="6"/>
        <v>-3.686627906976784</v>
      </c>
      <c r="L10" s="1">
        <f t="shared" si="7"/>
        <v>0.99988637737555808</v>
      </c>
      <c r="O10" s="1">
        <f t="shared" si="8"/>
        <v>0.98775666697490827</v>
      </c>
      <c r="P10" s="1">
        <f t="shared" si="9"/>
        <v>0.99988637737555808</v>
      </c>
      <c r="Q10" s="1">
        <f t="shared" si="11"/>
        <v>0.98775666697490827</v>
      </c>
      <c r="V10" s="3">
        <v>24</v>
      </c>
      <c r="W10" s="4">
        <f t="shared" si="12"/>
        <v>0.41092636579572372</v>
      </c>
      <c r="X10" s="4">
        <f t="shared" si="13"/>
        <v>-0.43081395348837193</v>
      </c>
      <c r="Y10" s="4">
        <f t="shared" si="14"/>
        <v>0.65943673564906891</v>
      </c>
      <c r="Z10" s="4">
        <f t="shared" si="15"/>
        <v>0.34056326435093109</v>
      </c>
      <c r="AA10" s="4">
        <f t="shared" si="16"/>
        <v>0.3333018264763441</v>
      </c>
      <c r="AB10" s="4">
        <f t="shared" si="17"/>
        <v>0.6666981735236559</v>
      </c>
      <c r="AC10" s="4">
        <f t="shared" si="18"/>
        <v>0.65943673564906891</v>
      </c>
      <c r="AD10" s="4">
        <f t="shared" si="19"/>
        <v>0.34056326435093109</v>
      </c>
      <c r="AE10" s="4">
        <f t="shared" si="20"/>
        <v>0.3333018264763441</v>
      </c>
      <c r="AF10" s="4">
        <f t="shared" si="21"/>
        <v>0.6666981735236559</v>
      </c>
    </row>
    <row r="11" spans="1:32" x14ac:dyDescent="0.25">
      <c r="A11">
        <f t="shared" si="2"/>
        <v>15.225000000000003</v>
      </c>
      <c r="B11">
        <f t="shared" si="0"/>
        <v>1.6271949511464069E-4</v>
      </c>
      <c r="C11">
        <f t="shared" si="1"/>
        <v>5.2321283012034184E-8</v>
      </c>
      <c r="H11">
        <f t="shared" si="3"/>
        <v>18.449999999999932</v>
      </c>
      <c r="I11" s="1">
        <f t="shared" si="4"/>
        <v>-2.2256532066508643</v>
      </c>
      <c r="J11" s="1">
        <f t="shared" si="5"/>
        <v>1.3018709672096607E-2</v>
      </c>
      <c r="K11" s="1">
        <f t="shared" si="6"/>
        <v>-3.657558139534923</v>
      </c>
      <c r="L11" s="1">
        <f t="shared" si="7"/>
        <v>0.99987268524311457</v>
      </c>
      <c r="O11" s="1">
        <f t="shared" si="8"/>
        <v>0.98698129032790338</v>
      </c>
      <c r="P11" s="1">
        <f t="shared" si="9"/>
        <v>0.99987268524311457</v>
      </c>
      <c r="Q11" s="1">
        <f t="shared" si="11"/>
        <v>0.98698129032790338</v>
      </c>
      <c r="V11" s="3">
        <v>25</v>
      </c>
      <c r="W11" s="4">
        <f t="shared" si="12"/>
        <v>0.8859857482185266</v>
      </c>
      <c r="X11" s="4">
        <f t="shared" si="13"/>
        <v>0.15058139534883741</v>
      </c>
      <c r="Y11" s="4">
        <f t="shared" si="14"/>
        <v>0.81218739647692262</v>
      </c>
      <c r="Z11" s="4">
        <f t="shared" si="15"/>
        <v>0.18781260352307738</v>
      </c>
      <c r="AA11" s="4">
        <f t="shared" si="16"/>
        <v>0.55984703080515663</v>
      </c>
      <c r="AB11" s="4">
        <f t="shared" si="17"/>
        <v>0.44015296919484337</v>
      </c>
      <c r="AC11" s="4">
        <f t="shared" si="18"/>
        <v>0.81218739647692262</v>
      </c>
      <c r="AD11" s="4">
        <f t="shared" si="19"/>
        <v>0.18781260352307738</v>
      </c>
      <c r="AE11" s="4">
        <f t="shared" si="20"/>
        <v>0.55984703080515663</v>
      </c>
      <c r="AF11" s="4">
        <f t="shared" si="21"/>
        <v>0.44015296919484337</v>
      </c>
    </row>
    <row r="12" spans="1:32" x14ac:dyDescent="0.25">
      <c r="A12">
        <f t="shared" si="2"/>
        <v>15.250000000000004</v>
      </c>
      <c r="B12">
        <f t="shared" si="0"/>
        <v>1.701339051323178E-4</v>
      </c>
      <c r="C12">
        <f t="shared" si="1"/>
        <v>5.6696511715267365E-8</v>
      </c>
      <c r="H12">
        <f t="shared" si="3"/>
        <v>18.499999999999932</v>
      </c>
      <c r="I12" s="1">
        <f t="shared" si="4"/>
        <v>-2.2019002375297241</v>
      </c>
      <c r="J12" s="1">
        <f t="shared" si="5"/>
        <v>1.3836178109947393E-2</v>
      </c>
      <c r="K12" s="1">
        <f t="shared" si="6"/>
        <v>-3.6284883720930625</v>
      </c>
      <c r="L12" s="1">
        <f t="shared" si="7"/>
        <v>0.99985745720605212</v>
      </c>
      <c r="O12" s="1">
        <f t="shared" si="8"/>
        <v>0.98616382189005258</v>
      </c>
      <c r="P12" s="1">
        <f t="shared" si="9"/>
        <v>0.99985745720605212</v>
      </c>
      <c r="Q12" s="1">
        <f t="shared" si="11"/>
        <v>0.98616382189005258</v>
      </c>
      <c r="V12" s="3">
        <v>26</v>
      </c>
      <c r="W12" s="4">
        <f t="shared" si="12"/>
        <v>1.3610451306413294</v>
      </c>
      <c r="X12" s="4">
        <f t="shared" si="13"/>
        <v>0.73197674418604675</v>
      </c>
      <c r="Y12" s="4">
        <f t="shared" si="14"/>
        <v>0.91325028613166914</v>
      </c>
      <c r="Z12" s="4">
        <f t="shared" si="15"/>
        <v>8.6749713868330858E-2</v>
      </c>
      <c r="AA12" s="4">
        <f t="shared" si="16"/>
        <v>0.76790861882231076</v>
      </c>
      <c r="AB12" s="4">
        <f t="shared" si="17"/>
        <v>0.23209138117768924</v>
      </c>
      <c r="AC12" s="4">
        <f t="shared" si="18"/>
        <v>0.91325028613166914</v>
      </c>
      <c r="AD12" s="4">
        <f t="shared" si="19"/>
        <v>8.6749713868330858E-2</v>
      </c>
      <c r="AE12" s="4">
        <f t="shared" si="20"/>
        <v>0.76790861882231076</v>
      </c>
      <c r="AF12" s="4">
        <f t="shared" si="21"/>
        <v>0.23209138117768924</v>
      </c>
    </row>
    <row r="13" spans="1:32" x14ac:dyDescent="0.25">
      <c r="A13">
        <f t="shared" si="2"/>
        <v>15.275000000000004</v>
      </c>
      <c r="B13">
        <f t="shared" si="0"/>
        <v>1.7786106789638469E-4</v>
      </c>
      <c r="C13">
        <f t="shared" si="1"/>
        <v>6.1424629216943693E-8</v>
      </c>
      <c r="H13">
        <f t="shared" si="3"/>
        <v>18.549999999999933</v>
      </c>
      <c r="I13" s="1">
        <f t="shared" si="4"/>
        <v>-2.1781472684085834</v>
      </c>
      <c r="J13" s="1">
        <f t="shared" si="5"/>
        <v>1.4697537220875944E-2</v>
      </c>
      <c r="K13" s="1">
        <f t="shared" si="6"/>
        <v>-3.5994186046512016</v>
      </c>
      <c r="L13" s="1">
        <f t="shared" si="7"/>
        <v>0.99984053528036276</v>
      </c>
      <c r="O13" s="1">
        <f t="shared" si="8"/>
        <v>0.98530246277912403</v>
      </c>
      <c r="P13" s="1">
        <f t="shared" si="9"/>
        <v>0.99984053528036276</v>
      </c>
      <c r="Q13" s="1">
        <f t="shared" si="11"/>
        <v>0.98530246277912403</v>
      </c>
      <c r="V13" s="3">
        <v>27</v>
      </c>
      <c r="W13" s="4">
        <f t="shared" si="12"/>
        <v>1.8361045130641322</v>
      </c>
      <c r="X13" s="4">
        <f t="shared" si="13"/>
        <v>1.313372093023256</v>
      </c>
      <c r="Y13" s="4">
        <f t="shared" si="14"/>
        <v>0.96682889951535989</v>
      </c>
      <c r="Z13" s="4">
        <f t="shared" si="15"/>
        <v>3.3171100484640115E-2</v>
      </c>
      <c r="AA13" s="4">
        <f t="shared" si="16"/>
        <v>0.90547120178553264</v>
      </c>
      <c r="AB13" s="4">
        <f t="shared" si="17"/>
        <v>9.4528798214467358E-2</v>
      </c>
      <c r="AC13" s="4">
        <f t="shared" si="18"/>
        <v>0.96682889951535989</v>
      </c>
      <c r="AD13" s="4">
        <f t="shared" si="19"/>
        <v>3.3171100484640115E-2</v>
      </c>
      <c r="AE13" s="4">
        <f t="shared" si="20"/>
        <v>0.90547120178553264</v>
      </c>
      <c r="AF13" s="4">
        <f t="shared" si="21"/>
        <v>9.4528798214467358E-2</v>
      </c>
    </row>
    <row r="14" spans="1:32" x14ac:dyDescent="0.25">
      <c r="A14">
        <f t="shared" si="2"/>
        <v>15.300000000000004</v>
      </c>
      <c r="B14">
        <f t="shared" si="0"/>
        <v>1.8591295885844565E-4</v>
      </c>
      <c r="C14">
        <f t="shared" si="1"/>
        <v>6.6532983299130687E-8</v>
      </c>
      <c r="H14">
        <f t="shared" si="3"/>
        <v>18.599999999999934</v>
      </c>
      <c r="I14" s="1">
        <f t="shared" si="4"/>
        <v>-2.1543942992874432</v>
      </c>
      <c r="J14" s="1">
        <f t="shared" si="5"/>
        <v>1.5604631631468087E-2</v>
      </c>
      <c r="K14" s="1">
        <f t="shared" si="6"/>
        <v>-3.5703488372093406</v>
      </c>
      <c r="L14" s="1">
        <f t="shared" si="7"/>
        <v>0.99982174692929005</v>
      </c>
      <c r="O14" s="1">
        <f t="shared" si="8"/>
        <v>0.98439536836853192</v>
      </c>
      <c r="P14" s="1">
        <f t="shared" si="9"/>
        <v>0.99982174692929005</v>
      </c>
      <c r="Q14" s="1">
        <f t="shared" si="11"/>
        <v>0.98439536836853192</v>
      </c>
      <c r="V14" s="3">
        <v>28</v>
      </c>
      <c r="W14" s="4">
        <f t="shared" si="12"/>
        <v>2.3111638954869353</v>
      </c>
      <c r="X14" s="4">
        <f t="shared" si="13"/>
        <v>1.8947674418604654</v>
      </c>
      <c r="Y14" s="4">
        <f t="shared" si="14"/>
        <v>0.98958809810941328</v>
      </c>
      <c r="Z14" s="4">
        <f t="shared" si="15"/>
        <v>1.0411901890586717E-2</v>
      </c>
      <c r="AA14" s="4">
        <f t="shared" si="16"/>
        <v>0.97093839081468214</v>
      </c>
      <c r="AB14" s="4">
        <f t="shared" si="17"/>
        <v>2.906160918531786E-2</v>
      </c>
      <c r="AC14" s="4">
        <f t="shared" si="18"/>
        <v>0.98958809810941328</v>
      </c>
      <c r="AD14" s="4">
        <f t="shared" si="19"/>
        <v>1.0411901890586717E-2</v>
      </c>
      <c r="AE14" s="4">
        <f t="shared" si="20"/>
        <v>0.97093839081468214</v>
      </c>
      <c r="AF14" s="4">
        <f t="shared" si="21"/>
        <v>2.906160918531786E-2</v>
      </c>
    </row>
    <row r="15" spans="1:32" x14ac:dyDescent="0.25">
      <c r="A15">
        <f t="shared" si="2"/>
        <v>15.325000000000005</v>
      </c>
      <c r="B15">
        <f t="shared" si="0"/>
        <v>1.9430195597988872E-4</v>
      </c>
      <c r="C15">
        <f t="shared" si="1"/>
        <v>7.2050948255963349E-8</v>
      </c>
      <c r="H15">
        <f t="shared" si="3"/>
        <v>18.649999999999935</v>
      </c>
      <c r="I15" s="1">
        <f t="shared" si="4"/>
        <v>-2.1306413301663025</v>
      </c>
      <c r="J15" s="1">
        <f t="shared" si="5"/>
        <v>1.6559350951125124E-2</v>
      </c>
      <c r="K15" s="1">
        <f t="shared" si="6"/>
        <v>-3.5412790697674796</v>
      </c>
      <c r="L15" s="1">
        <f t="shared" si="7"/>
        <v>0.9998009039126885</v>
      </c>
      <c r="O15" s="1">
        <f t="shared" si="8"/>
        <v>0.98344064904887485</v>
      </c>
      <c r="P15" s="1">
        <f t="shared" si="9"/>
        <v>0.9998009039126885</v>
      </c>
      <c r="Q15" s="1">
        <f t="shared" si="11"/>
        <v>0.98344064904887485</v>
      </c>
    </row>
    <row r="16" spans="1:32" x14ac:dyDescent="0.25">
      <c r="A16">
        <f t="shared" si="2"/>
        <v>15.350000000000005</v>
      </c>
      <c r="B16">
        <f t="shared" si="0"/>
        <v>2.0304085081306226E-4</v>
      </c>
      <c r="C16">
        <f t="shared" si="1"/>
        <v>7.8010067578273853E-8</v>
      </c>
      <c r="H16">
        <f t="shared" si="3"/>
        <v>18.699999999999935</v>
      </c>
      <c r="I16" s="1">
        <f t="shared" si="4"/>
        <v>-2.1068883610451623</v>
      </c>
      <c r="J16" s="1">
        <f t="shared" si="5"/>
        <v>1.7563628865957394E-2</v>
      </c>
      <c r="K16" s="1">
        <f t="shared" si="6"/>
        <v>-3.5122093023256187</v>
      </c>
      <c r="L16" s="1">
        <f t="shared" si="7"/>
        <v>0.99977780106542635</v>
      </c>
      <c r="O16" s="1">
        <f t="shared" si="8"/>
        <v>0.98243637113404259</v>
      </c>
      <c r="P16" s="1">
        <f t="shared" si="9"/>
        <v>0.99977780106542635</v>
      </c>
      <c r="Q16" s="1">
        <f t="shared" si="11"/>
        <v>0.98243637113404259</v>
      </c>
    </row>
    <row r="17" spans="1:31" x14ac:dyDescent="0.25">
      <c r="A17">
        <f t="shared" si="2"/>
        <v>15.375000000000005</v>
      </c>
      <c r="B17">
        <f t="shared" si="0"/>
        <v>2.1214285978506518E-4</v>
      </c>
      <c r="C17">
        <f t="shared" si="1"/>
        <v>8.4444206102353375E-8</v>
      </c>
      <c r="H17">
        <f t="shared" si="3"/>
        <v>18.749999999999936</v>
      </c>
      <c r="I17" s="1">
        <f t="shared" si="4"/>
        <v>-2.0831353919240216</v>
      </c>
      <c r="J17" s="1">
        <f t="shared" si="5"/>
        <v>1.8619442083100877E-2</v>
      </c>
      <c r="K17" s="1">
        <f t="shared" si="6"/>
        <v>-3.4831395348837582</v>
      </c>
      <c r="L17" s="1">
        <f t="shared" si="7"/>
        <v>0.99975221500247713</v>
      </c>
      <c r="O17" s="1">
        <f t="shared" si="8"/>
        <v>0.98138055791689915</v>
      </c>
      <c r="P17" s="1">
        <f t="shared" si="9"/>
        <v>0.99975221500247713</v>
      </c>
      <c r="Q17" s="1">
        <f t="shared" si="11"/>
        <v>0.98138055791689915</v>
      </c>
    </row>
    <row r="18" spans="1:31" x14ac:dyDescent="0.25">
      <c r="A18">
        <f t="shared" si="2"/>
        <v>15.400000000000006</v>
      </c>
      <c r="B18">
        <f t="shared" si="0"/>
        <v>2.2162163568353155E-4</v>
      </c>
      <c r="C18">
        <f t="shared" si="1"/>
        <v>9.138971220697176E-8</v>
      </c>
      <c r="H18">
        <f t="shared" si="3"/>
        <v>18.799999999999937</v>
      </c>
      <c r="I18" s="1">
        <f t="shared" si="4"/>
        <v>-2.059382422802881</v>
      </c>
      <c r="J18" s="1">
        <f t="shared" si="5"/>
        <v>1.9728809120702469E-2</v>
      </c>
      <c r="K18" s="1">
        <f t="shared" si="6"/>
        <v>-3.4540697674418972</v>
      </c>
      <c r="L18" s="1">
        <f t="shared" si="7"/>
        <v>0.99972390274847756</v>
      </c>
      <c r="O18" s="1">
        <f t="shared" si="8"/>
        <v>0.98027119087929748</v>
      </c>
      <c r="P18" s="1">
        <f t="shared" si="9"/>
        <v>0.99972390274847756</v>
      </c>
      <c r="Q18" s="1">
        <f t="shared" si="11"/>
        <v>0.98027119087929748</v>
      </c>
      <c r="V18" s="5" t="s">
        <v>24</v>
      </c>
      <c r="W18" s="5" t="s">
        <v>35</v>
      </c>
      <c r="X18" s="5" t="s">
        <v>36</v>
      </c>
      <c r="Y18" s="5" t="s">
        <v>37</v>
      </c>
      <c r="Z18" s="5" t="s">
        <v>38</v>
      </c>
      <c r="AA18" s="5" t="s">
        <v>39</v>
      </c>
      <c r="AB18" s="5" t="s">
        <v>40</v>
      </c>
      <c r="AC18" s="5" t="s">
        <v>41</v>
      </c>
      <c r="AD18" s="5" t="s">
        <v>42</v>
      </c>
      <c r="AE18" s="5" t="s">
        <v>43</v>
      </c>
    </row>
    <row r="19" spans="1:31" x14ac:dyDescent="0.25">
      <c r="A19">
        <f t="shared" si="2"/>
        <v>15.425000000000006</v>
      </c>
      <c r="B19">
        <f t="shared" si="0"/>
        <v>2.3149127934355961E-4</v>
      </c>
      <c r="C19">
        <f t="shared" si="1"/>
        <v>9.888559067568538E-8</v>
      </c>
      <c r="H19">
        <f t="shared" si="3"/>
        <v>18.849999999999937</v>
      </c>
      <c r="I19" s="1">
        <f t="shared" si="4"/>
        <v>-2.0356294536817408</v>
      </c>
      <c r="J19" s="1">
        <f t="shared" si="5"/>
        <v>2.0893788939110095E-2</v>
      </c>
      <c r="K19" s="1">
        <f t="shared" si="6"/>
        <v>-3.4250000000000362</v>
      </c>
      <c r="L19" s="1">
        <f t="shared" si="7"/>
        <v>0.9996926002896952</v>
      </c>
      <c r="O19" s="1">
        <f t="shared" si="8"/>
        <v>0.97910621106088991</v>
      </c>
      <c r="P19" s="1">
        <f t="shared" si="9"/>
        <v>0.9996926002896952</v>
      </c>
      <c r="Q19" s="1">
        <f t="shared" si="11"/>
        <v>0.97910621106088991</v>
      </c>
      <c r="V19" s="5">
        <v>20</v>
      </c>
      <c r="W19" s="6">
        <f>139/644</f>
        <v>0.21583850931677018</v>
      </c>
      <c r="X19" s="6">
        <f>505/644</f>
        <v>0.78416149068322982</v>
      </c>
      <c r="Y19" s="6">
        <f>W19/(1-W19)</f>
        <v>0.27524752475247521</v>
      </c>
      <c r="Z19" s="6">
        <f>X19/(1-X19)</f>
        <v>3.6330935251798562</v>
      </c>
      <c r="AA19" s="6">
        <f>AD6</f>
        <v>0.93179727534949208</v>
      </c>
      <c r="AB19" s="6">
        <f>AF6</f>
        <v>0.99707788445769385</v>
      </c>
      <c r="AC19" s="6">
        <f>AB19/AA19</f>
        <v>1.0700588108971629</v>
      </c>
      <c r="AD19" s="6">
        <f t="shared" ref="AD19:AD27" si="22">Z19*AC19</f>
        <v>3.887623737432139</v>
      </c>
      <c r="AE19" s="6">
        <f>AD19/(1+AD19)</f>
        <v>0.79540159927994369</v>
      </c>
    </row>
    <row r="20" spans="1:31" x14ac:dyDescent="0.25">
      <c r="A20">
        <f t="shared" si="2"/>
        <v>15.450000000000006</v>
      </c>
      <c r="B20">
        <f t="shared" si="0"/>
        <v>2.4176635153468705E-4</v>
      </c>
      <c r="C20">
        <f t="shared" si="1"/>
        <v>1.0697368687601398E-7</v>
      </c>
      <c r="H20">
        <f t="shared" ref="H20:H31" si="23">H21-0.05</f>
        <v>18.899999999999938</v>
      </c>
      <c r="I20" s="1">
        <f t="shared" ref="I20:I31" si="24">($H20-I$4)/J$4</f>
        <v>-2.0118764845606001</v>
      </c>
      <c r="J20" s="1">
        <f t="shared" ref="J20:J31" si="25">_xlfn.NORM.DIST(I20,0,1,1)</f>
        <v>2.2116479409124461E-2</v>
      </c>
      <c r="K20" s="1">
        <f t="shared" ref="K20:K31" si="26">($H20-K$4)/L$4</f>
        <v>-3.3959302325581753</v>
      </c>
      <c r="L20" s="1">
        <f t="shared" ref="L20:L31" si="27">1-_xlfn.NORM.DIST(K20,0,1,1)</f>
        <v>0.99965802104653911</v>
      </c>
      <c r="O20" s="1">
        <f t="shared" ref="O20:O31" si="28">1-J20</f>
        <v>0.97788352059087558</v>
      </c>
      <c r="P20" s="1">
        <f t="shared" ref="P20:P31" si="29">L20</f>
        <v>0.99965802104653911</v>
      </c>
      <c r="Q20" s="1">
        <f t="shared" si="11"/>
        <v>0.97788352059087558</v>
      </c>
      <c r="V20" s="5">
        <v>21</v>
      </c>
      <c r="W20" s="6">
        <f t="shared" ref="W20:W27" si="30">139/644</f>
        <v>0.21583850931677018</v>
      </c>
      <c r="X20" s="6">
        <f t="shared" ref="X20:X27" si="31">505/644</f>
        <v>0.78416149068322982</v>
      </c>
      <c r="Y20" s="6">
        <f t="shared" ref="Y20:Y27" si="32">W20/(1-W20)</f>
        <v>0.27524752475247521</v>
      </c>
      <c r="Z20" s="6">
        <f t="shared" ref="Z20:Z27" si="33">X20/(1-X20)</f>
        <v>3.6330935251798562</v>
      </c>
      <c r="AA20" s="6">
        <f t="shared" ref="AA20:AA27" si="34">AD7</f>
        <v>0.84476868705349117</v>
      </c>
      <c r="AB20" s="6">
        <f t="shared" ref="AB20:AB27" si="35">AF7</f>
        <v>0.98518494180739014</v>
      </c>
      <c r="AC20" s="6">
        <f t="shared" ref="AC20:AC27" si="36">AB20/AA20</f>
        <v>1.1662185837446977</v>
      </c>
      <c r="AD20" s="6">
        <f t="shared" si="22"/>
        <v>4.2369811855472825</v>
      </c>
      <c r="AE20" s="6">
        <f t="shared" ref="AE20:AE27" si="37">AD20/(1+AD20)</f>
        <v>0.8090502973812963</v>
      </c>
    </row>
    <row r="21" spans="1:31" x14ac:dyDescent="0.25">
      <c r="A21">
        <f t="shared" si="2"/>
        <v>15.475000000000007</v>
      </c>
      <c r="B21">
        <f t="shared" si="0"/>
        <v>2.5246188504657584E-4</v>
      </c>
      <c r="C21">
        <f t="shared" si="1"/>
        <v>1.1569888294331187E-7</v>
      </c>
      <c r="H21">
        <f t="shared" si="23"/>
        <v>18.949999999999939</v>
      </c>
      <c r="I21" s="1">
        <f t="shared" si="24"/>
        <v>-1.9881235154394596</v>
      </c>
      <c r="J21" s="1">
        <f t="shared" si="25"/>
        <v>2.3399015613524615E-2</v>
      </c>
      <c r="K21" s="1">
        <f t="shared" si="26"/>
        <v>-3.3668604651163143</v>
      </c>
      <c r="L21" s="1">
        <f t="shared" si="27"/>
        <v>0.9996198542649718</v>
      </c>
      <c r="O21" s="1">
        <f t="shared" si="28"/>
        <v>0.97660098438647536</v>
      </c>
      <c r="P21" s="1">
        <f t="shared" si="29"/>
        <v>0.9996198542649718</v>
      </c>
      <c r="Q21" s="1">
        <f t="shared" si="11"/>
        <v>0.97660098438647536</v>
      </c>
      <c r="V21" s="5">
        <v>22</v>
      </c>
      <c r="W21" s="6">
        <f t="shared" si="30"/>
        <v>0.21583850931677018</v>
      </c>
      <c r="X21" s="6">
        <f t="shared" si="31"/>
        <v>0.78416149068322982</v>
      </c>
      <c r="Y21" s="6">
        <f t="shared" si="32"/>
        <v>0.27524752475247521</v>
      </c>
      <c r="Z21" s="6">
        <f t="shared" si="33"/>
        <v>3.6330935251798562</v>
      </c>
      <c r="AA21" s="6">
        <f t="shared" si="34"/>
        <v>0.70512294773799733</v>
      </c>
      <c r="AB21" s="6">
        <f t="shared" si="35"/>
        <v>0.9444876939583402</v>
      </c>
      <c r="AC21" s="6">
        <f t="shared" si="36"/>
        <v>1.339465262034393</v>
      </c>
      <c r="AD21" s="6">
        <f t="shared" si="22"/>
        <v>4.866402570700493</v>
      </c>
      <c r="AE21" s="6">
        <f t="shared" si="37"/>
        <v>0.82953778095719877</v>
      </c>
    </row>
    <row r="22" spans="1:31" x14ac:dyDescent="0.25">
      <c r="A22">
        <f t="shared" si="2"/>
        <v>15.500000000000007</v>
      </c>
      <c r="B22">
        <f t="shared" si="0"/>
        <v>2.6359339697179686E-4</v>
      </c>
      <c r="C22">
        <f t="shared" si="1"/>
        <v>1.2510930669518224E-7</v>
      </c>
      <c r="H22">
        <f t="shared" si="23"/>
        <v>18.99999999999994</v>
      </c>
      <c r="I22" s="1">
        <f t="shared" si="24"/>
        <v>-1.9643705463183192</v>
      </c>
      <c r="J22" s="1">
        <f t="shared" si="25"/>
        <v>2.4743567978467898E-2</v>
      </c>
      <c r="K22" s="1">
        <f t="shared" si="26"/>
        <v>-3.3377906976744534</v>
      </c>
      <c r="L22" s="1">
        <f t="shared" si="27"/>
        <v>0.99957776332544135</v>
      </c>
      <c r="O22" s="1">
        <f t="shared" si="28"/>
        <v>0.97525643202153212</v>
      </c>
      <c r="P22" s="1">
        <f t="shared" si="29"/>
        <v>0.99957776332544135</v>
      </c>
      <c r="Q22" s="1">
        <f t="shared" si="11"/>
        <v>0.97525643202153212</v>
      </c>
      <c r="V22" s="5">
        <v>23</v>
      </c>
      <c r="W22" s="6">
        <f t="shared" si="30"/>
        <v>0.21583850931677018</v>
      </c>
      <c r="X22" s="6">
        <f t="shared" si="31"/>
        <v>0.78416149068322982</v>
      </c>
      <c r="Y22" s="6">
        <f t="shared" si="32"/>
        <v>0.27524752475247521</v>
      </c>
      <c r="Z22" s="6">
        <f t="shared" si="33"/>
        <v>3.6330935251798562</v>
      </c>
      <c r="AA22" s="6">
        <f t="shared" si="34"/>
        <v>0.52556784375840526</v>
      </c>
      <c r="AB22" s="6">
        <f t="shared" si="35"/>
        <v>0.84428100531245376</v>
      </c>
      <c r="AC22" s="6">
        <f t="shared" si="36"/>
        <v>1.6064167839396117</v>
      </c>
      <c r="AD22" s="6">
        <f t="shared" si="22"/>
        <v>5.8362624164712518</v>
      </c>
      <c r="AE22" s="6">
        <f t="shared" si="37"/>
        <v>0.85372123843716041</v>
      </c>
    </row>
    <row r="23" spans="1:31" x14ac:dyDescent="0.25">
      <c r="A23">
        <f t="shared" si="2"/>
        <v>15.525000000000007</v>
      </c>
      <c r="B23">
        <f t="shared" si="0"/>
        <v>2.7517690118384258E-4</v>
      </c>
      <c r="C23">
        <f t="shared" si="1"/>
        <v>1.3525655404214058E-7</v>
      </c>
      <c r="H23">
        <f t="shared" si="23"/>
        <v>19.04999999999994</v>
      </c>
      <c r="I23" s="1">
        <f t="shared" si="24"/>
        <v>-1.9406175771971788</v>
      </c>
      <c r="J23" s="1">
        <f t="shared" si="25"/>
        <v>2.6152340231786007E-2</v>
      </c>
      <c r="K23" s="1">
        <f t="shared" si="26"/>
        <v>-3.3087209302325928</v>
      </c>
      <c r="L23" s="1">
        <f t="shared" si="27"/>
        <v>0.99953138396824504</v>
      </c>
      <c r="O23" s="1">
        <f t="shared" si="28"/>
        <v>0.97384765976821397</v>
      </c>
      <c r="P23" s="1">
        <f t="shared" si="29"/>
        <v>0.99953138396824504</v>
      </c>
      <c r="Q23" s="1">
        <f t="shared" si="11"/>
        <v>0.97384765976821397</v>
      </c>
      <c r="V23" s="5">
        <v>24</v>
      </c>
      <c r="W23" s="6">
        <f t="shared" si="30"/>
        <v>0.21583850931677018</v>
      </c>
      <c r="X23" s="6">
        <f t="shared" si="31"/>
        <v>0.78416149068322982</v>
      </c>
      <c r="Y23" s="6">
        <f t="shared" si="32"/>
        <v>0.27524752475247521</v>
      </c>
      <c r="Z23" s="6">
        <f t="shared" si="33"/>
        <v>3.6330935251798562</v>
      </c>
      <c r="AA23" s="6">
        <f t="shared" si="34"/>
        <v>0.34056326435093109</v>
      </c>
      <c r="AB23" s="6">
        <f t="shared" si="35"/>
        <v>0.6666981735236559</v>
      </c>
      <c r="AC23" s="6">
        <f t="shared" si="36"/>
        <v>1.9576338475445823</v>
      </c>
      <c r="AD23" s="6">
        <f t="shared" si="22"/>
        <v>7.1122668561871514</v>
      </c>
      <c r="AE23" s="6">
        <f t="shared" si="37"/>
        <v>0.87672989341600505</v>
      </c>
    </row>
    <row r="24" spans="1:31" x14ac:dyDescent="0.25">
      <c r="A24">
        <f t="shared" si="2"/>
        <v>15.550000000000008</v>
      </c>
      <c r="B24">
        <f t="shared" si="0"/>
        <v>2.8722892100821397E-4</v>
      </c>
      <c r="C24">
        <f t="shared" si="1"/>
        <v>1.4619592570201682E-7</v>
      </c>
      <c r="H24">
        <f t="shared" si="23"/>
        <v>19.099999999999941</v>
      </c>
      <c r="I24" s="1">
        <f t="shared" si="24"/>
        <v>-1.9168646080760383</v>
      </c>
      <c r="J24" s="1">
        <f t="shared" si="25"/>
        <v>2.7627567185652714E-2</v>
      </c>
      <c r="K24" s="1">
        <f t="shared" si="26"/>
        <v>-3.2796511627907319</v>
      </c>
      <c r="L24" s="1">
        <f t="shared" si="27"/>
        <v>0.99948032243456997</v>
      </c>
      <c r="O24" s="1">
        <f t="shared" si="28"/>
        <v>0.97237243281434727</v>
      </c>
      <c r="P24" s="1">
        <f t="shared" si="29"/>
        <v>0.99948032243456997</v>
      </c>
      <c r="Q24" s="1">
        <f t="shared" si="11"/>
        <v>0.97237243281434727</v>
      </c>
      <c r="V24" s="5">
        <v>25</v>
      </c>
      <c r="W24" s="6">
        <f t="shared" si="30"/>
        <v>0.21583850931677018</v>
      </c>
      <c r="X24" s="6">
        <f t="shared" si="31"/>
        <v>0.78416149068322982</v>
      </c>
      <c r="Y24" s="6">
        <f t="shared" si="32"/>
        <v>0.27524752475247521</v>
      </c>
      <c r="Z24" s="6">
        <f t="shared" si="33"/>
        <v>3.6330935251798562</v>
      </c>
      <c r="AA24" s="6">
        <f t="shared" si="34"/>
        <v>0.18781260352307738</v>
      </c>
      <c r="AB24" s="6">
        <f t="shared" si="35"/>
        <v>0.44015296919484337</v>
      </c>
      <c r="AC24" s="6">
        <f t="shared" si="36"/>
        <v>2.343575249681046</v>
      </c>
      <c r="AD24" s="6">
        <f t="shared" si="22"/>
        <v>8.5144280653879729</v>
      </c>
      <c r="AE24" s="6">
        <f t="shared" si="37"/>
        <v>0.89489646743582552</v>
      </c>
    </row>
    <row r="25" spans="1:31" x14ac:dyDescent="0.25">
      <c r="A25">
        <f t="shared" si="2"/>
        <v>15.575000000000008</v>
      </c>
      <c r="B25">
        <f t="shared" si="0"/>
        <v>2.997665020841339E-4</v>
      </c>
      <c r="C25">
        <f t="shared" si="1"/>
        <v>1.5798667906933957E-7</v>
      </c>
      <c r="H25">
        <f t="shared" si="23"/>
        <v>19.149999999999942</v>
      </c>
      <c r="I25" s="1">
        <f t="shared" si="24"/>
        <v>-1.8931116389548979</v>
      </c>
      <c r="J25" s="1">
        <f t="shared" si="25"/>
        <v>2.9171512341585965E-2</v>
      </c>
      <c r="K25" s="1">
        <f t="shared" si="26"/>
        <v>-3.2505813953488709</v>
      </c>
      <c r="L25" s="1">
        <f t="shared" si="27"/>
        <v>0.99942415352282521</v>
      </c>
      <c r="O25" s="1">
        <f t="shared" si="28"/>
        <v>0.97082848765841401</v>
      </c>
      <c r="P25" s="1">
        <f t="shared" si="29"/>
        <v>0.99942415352282521</v>
      </c>
      <c r="Q25" s="1">
        <f t="shared" si="11"/>
        <v>0.97082848765841401</v>
      </c>
      <c r="V25" s="5">
        <v>26</v>
      </c>
      <c r="W25" s="6">
        <f t="shared" si="30"/>
        <v>0.21583850931677018</v>
      </c>
      <c r="X25" s="6">
        <f t="shared" si="31"/>
        <v>0.78416149068322982</v>
      </c>
      <c r="Y25" s="6">
        <f t="shared" si="32"/>
        <v>0.27524752475247521</v>
      </c>
      <c r="Z25" s="6">
        <f t="shared" si="33"/>
        <v>3.6330935251798562</v>
      </c>
      <c r="AA25" s="6">
        <f t="shared" si="34"/>
        <v>8.6749713868330858E-2</v>
      </c>
      <c r="AB25" s="6">
        <f t="shared" si="35"/>
        <v>0.23209138117768924</v>
      </c>
      <c r="AC25" s="6">
        <f t="shared" si="36"/>
        <v>2.6754137947931294</v>
      </c>
      <c r="AD25" s="6">
        <f t="shared" si="22"/>
        <v>9.7200285350397859</v>
      </c>
      <c r="AE25" s="6">
        <f t="shared" si="37"/>
        <v>0.90671666621675751</v>
      </c>
    </row>
    <row r="26" spans="1:31" x14ac:dyDescent="0.25">
      <c r="A26">
        <f t="shared" si="2"/>
        <v>15.600000000000009</v>
      </c>
      <c r="B26">
        <f t="shared" si="0"/>
        <v>3.1280722541414694E-4</v>
      </c>
      <c r="C26">
        <f t="shared" si="1"/>
        <v>1.7069229613678475E-7</v>
      </c>
      <c r="H26">
        <f t="shared" si="23"/>
        <v>19.199999999999942</v>
      </c>
      <c r="I26" s="1">
        <f t="shared" si="24"/>
        <v>-1.8693586698337574</v>
      </c>
      <c r="J26" s="1">
        <f t="shared" si="25"/>
        <v>3.0786465316264021E-2</v>
      </c>
      <c r="K26" s="1">
        <f t="shared" si="26"/>
        <v>-3.22151162790701</v>
      </c>
      <c r="L26" s="1">
        <f t="shared" si="27"/>
        <v>0.9993624185602934</v>
      </c>
      <c r="O26" s="1">
        <f t="shared" si="28"/>
        <v>0.96921353468373594</v>
      </c>
      <c r="P26" s="1">
        <f t="shared" si="29"/>
        <v>0.9993624185602934</v>
      </c>
      <c r="Q26" s="1">
        <f t="shared" si="11"/>
        <v>0.96921353468373594</v>
      </c>
      <c r="V26" s="5">
        <v>27</v>
      </c>
      <c r="W26" s="6">
        <f t="shared" si="30"/>
        <v>0.21583850931677018</v>
      </c>
      <c r="X26" s="6">
        <f t="shared" si="31"/>
        <v>0.78416149068322982</v>
      </c>
      <c r="Y26" s="6">
        <f t="shared" si="32"/>
        <v>0.27524752475247521</v>
      </c>
      <c r="Z26" s="6">
        <f t="shared" si="33"/>
        <v>3.6330935251798562</v>
      </c>
      <c r="AA26" s="6">
        <f t="shared" si="34"/>
        <v>3.3171100484640115E-2</v>
      </c>
      <c r="AB26" s="6">
        <f t="shared" si="35"/>
        <v>9.4528798214467358E-2</v>
      </c>
      <c r="AC26" s="6">
        <f t="shared" si="36"/>
        <v>2.8497335582290657</v>
      </c>
      <c r="AD26" s="6">
        <f t="shared" si="22"/>
        <v>10.353348538889771</v>
      </c>
      <c r="AE26" s="6">
        <f t="shared" si="37"/>
        <v>0.91192025889325967</v>
      </c>
    </row>
    <row r="27" spans="1:31" x14ac:dyDescent="0.25">
      <c r="A27">
        <f t="shared" si="2"/>
        <v>15.625000000000009</v>
      </c>
      <c r="B27">
        <f t="shared" si="0"/>
        <v>3.263692205985497E-4</v>
      </c>
      <c r="C27">
        <f t="shared" si="1"/>
        <v>1.8438076841372477E-7</v>
      </c>
      <c r="H27">
        <f t="shared" si="23"/>
        <v>19.249999999999943</v>
      </c>
      <c r="I27" s="1">
        <f t="shared" si="24"/>
        <v>-1.8456057007126168</v>
      </c>
      <c r="J27" s="1">
        <f t="shared" si="25"/>
        <v>3.2474739087184866E-2</v>
      </c>
      <c r="K27" s="1">
        <f t="shared" si="26"/>
        <v>-3.192441860465149</v>
      </c>
      <c r="L27" s="1">
        <f t="shared" si="27"/>
        <v>0.99929462329058072</v>
      </c>
      <c r="O27" s="1">
        <f t="shared" si="28"/>
        <v>0.9675252609128151</v>
      </c>
      <c r="P27" s="1">
        <f t="shared" si="29"/>
        <v>0.99929462329058072</v>
      </c>
      <c r="Q27" s="1">
        <f t="shared" si="11"/>
        <v>0.9675252609128151</v>
      </c>
      <c r="V27" s="5">
        <v>28</v>
      </c>
      <c r="W27" s="6">
        <f t="shared" si="30"/>
        <v>0.21583850931677018</v>
      </c>
      <c r="X27" s="6">
        <f t="shared" si="31"/>
        <v>0.78416149068322982</v>
      </c>
      <c r="Y27" s="6">
        <f t="shared" si="32"/>
        <v>0.27524752475247521</v>
      </c>
      <c r="Z27" s="6">
        <f t="shared" si="33"/>
        <v>3.6330935251798562</v>
      </c>
      <c r="AA27" s="6">
        <f t="shared" si="34"/>
        <v>1.0411901890586717E-2</v>
      </c>
      <c r="AB27" s="6">
        <f t="shared" si="35"/>
        <v>2.906160918531786E-2</v>
      </c>
      <c r="AC27" s="6">
        <f t="shared" si="36"/>
        <v>2.7911912243038071</v>
      </c>
      <c r="AD27" s="6">
        <f t="shared" si="22"/>
        <v>10.140658764556997</v>
      </c>
      <c r="AE27" s="6">
        <f t="shared" si="37"/>
        <v>0.91023870121743522</v>
      </c>
    </row>
    <row r="28" spans="1:31" x14ac:dyDescent="0.25">
      <c r="A28">
        <f t="shared" si="2"/>
        <v>15.650000000000009</v>
      </c>
      <c r="B28">
        <f t="shared" si="0"/>
        <v>3.4047117925127638E-4</v>
      </c>
      <c r="C28">
        <f t="shared" si="1"/>
        <v>1.9912489983711028E-7</v>
      </c>
      <c r="H28">
        <f t="shared" si="23"/>
        <v>19.299999999999944</v>
      </c>
      <c r="I28" s="1">
        <f t="shared" si="24"/>
        <v>-1.8218527315914763</v>
      </c>
      <c r="J28" s="1">
        <f t="shared" si="25"/>
        <v>3.4238667057775736E-2</v>
      </c>
      <c r="K28" s="1">
        <f t="shared" si="26"/>
        <v>-3.1633720930232885</v>
      </c>
      <c r="L28" s="1">
        <f t="shared" si="27"/>
        <v>0.99922023567784235</v>
      </c>
      <c r="O28" s="1">
        <f t="shared" si="28"/>
        <v>0.96576133294222422</v>
      </c>
      <c r="P28" s="1">
        <f t="shared" si="29"/>
        <v>0.99922023567784235</v>
      </c>
      <c r="Q28" s="1">
        <f t="shared" si="11"/>
        <v>0.96576133294222422</v>
      </c>
    </row>
    <row r="29" spans="1:31" x14ac:dyDescent="0.25">
      <c r="A29">
        <f t="shared" si="2"/>
        <v>15.67500000000001</v>
      </c>
      <c r="B29">
        <f t="shared" si="0"/>
        <v>3.5513236859354048E-4</v>
      </c>
      <c r="C29">
        <f t="shared" si="1"/>
        <v>2.1500262872239444E-7</v>
      </c>
      <c r="H29">
        <f t="shared" si="23"/>
        <v>19.349999999999945</v>
      </c>
      <c r="I29" s="1">
        <f t="shared" si="24"/>
        <v>-1.7980997624703359</v>
      </c>
      <c r="J29" s="1">
        <f t="shared" si="25"/>
        <v>3.6080599942167085E-2</v>
      </c>
      <c r="K29" s="1">
        <f t="shared" si="26"/>
        <v>-3.1343023255814275</v>
      </c>
      <c r="L29" s="1">
        <f t="shared" si="27"/>
        <v>0.99913868362929481</v>
      </c>
      <c r="O29" s="1">
        <f t="shared" si="28"/>
        <v>0.96391940005783294</v>
      </c>
      <c r="P29" s="1">
        <f t="shared" si="29"/>
        <v>0.99913868362929481</v>
      </c>
      <c r="Q29" s="1">
        <f t="shared" si="11"/>
        <v>0.96391940005783294</v>
      </c>
    </row>
    <row r="30" spans="1:31" x14ac:dyDescent="0.25">
      <c r="A30">
        <f t="shared" si="2"/>
        <v>15.70000000000001</v>
      </c>
      <c r="B30">
        <f t="shared" si="0"/>
        <v>3.7037264522117835E-4</v>
      </c>
      <c r="C30">
        <f t="shared" si="1"/>
        <v>2.3209736985707445E-7</v>
      </c>
      <c r="H30">
        <f t="shared" si="23"/>
        <v>19.399999999999945</v>
      </c>
      <c r="I30" s="1">
        <f t="shared" si="24"/>
        <v>-1.7743467933491954</v>
      </c>
      <c r="J30" s="1">
        <f t="shared" si="25"/>
        <v>3.8002902470478217E-2</v>
      </c>
      <c r="K30" s="1">
        <f t="shared" si="26"/>
        <v>-3.1052325581395666</v>
      </c>
      <c r="L30" s="1">
        <f t="shared" si="27"/>
        <v>0.9990493526381149</v>
      </c>
      <c r="O30" s="1">
        <f t="shared" si="28"/>
        <v>0.96199709752952178</v>
      </c>
      <c r="P30" s="1">
        <f t="shared" si="29"/>
        <v>0.9990493526381149</v>
      </c>
      <c r="Q30" s="1">
        <f t="shared" si="11"/>
        <v>0.96199709752952178</v>
      </c>
    </row>
    <row r="31" spans="1:31" x14ac:dyDescent="0.25">
      <c r="A31">
        <f t="shared" si="2"/>
        <v>15.72500000000001</v>
      </c>
      <c r="B31">
        <f t="shared" si="0"/>
        <v>3.8621246904131429E-4</v>
      </c>
      <c r="C31">
        <f t="shared" si="1"/>
        <v>2.5049837789675168E-7</v>
      </c>
      <c r="H31">
        <f t="shared" si="23"/>
        <v>19.449999999999946</v>
      </c>
      <c r="I31" s="1">
        <f t="shared" si="24"/>
        <v>-1.750593824228055</v>
      </c>
      <c r="J31" s="1">
        <f t="shared" si="25"/>
        <v>4.0007949916120264E-2</v>
      </c>
      <c r="K31" s="1">
        <f t="shared" si="26"/>
        <v>-3.0761627906977056</v>
      </c>
      <c r="L31" s="1">
        <f t="shared" si="27"/>
        <v>0.99895158334944567</v>
      </c>
      <c r="O31" s="1">
        <f t="shared" si="28"/>
        <v>0.95999205008387978</v>
      </c>
      <c r="P31" s="1">
        <f t="shared" si="29"/>
        <v>0.99895158334944567</v>
      </c>
      <c r="Q31" s="1">
        <f t="shared" si="11"/>
        <v>0.95999205008387978</v>
      </c>
    </row>
    <row r="32" spans="1:31" x14ac:dyDescent="0.25">
      <c r="A32">
        <f t="shared" si="2"/>
        <v>15.750000000000011</v>
      </c>
      <c r="B32">
        <f t="shared" si="0"/>
        <v>4.0267291737357936E-4</v>
      </c>
      <c r="C32">
        <f t="shared" si="1"/>
        <v>2.7030113328348198E-7</v>
      </c>
      <c r="H32">
        <f t="shared" ref="H32:H55" si="38">H33-0.05</f>
        <v>19.499999999999947</v>
      </c>
      <c r="I32" s="1">
        <f t="shared" ref="I32:I55" si="39">($H32-I$4)/J$4</f>
        <v>-1.7268408551069145</v>
      </c>
      <c r="J32" s="1">
        <f t="shared" ref="J32:J55" si="40">_xlfn.NORM.DIST(I32,0,1,1)</f>
        <v>4.2098124447305152E-2</v>
      </c>
      <c r="K32" s="1">
        <f t="shared" ref="K32:K55" si="41">($H32-K$4)/L$4</f>
        <v>-3.0470930232558446</v>
      </c>
      <c r="L32" s="1">
        <f t="shared" ref="L32:L55" si="42">1-_xlfn.NORM.DIST(K32,0,1,1)</f>
        <v>0.99884466905290392</v>
      </c>
      <c r="O32" s="1">
        <f t="shared" ref="O32:O55" si="43">1-J32</f>
        <v>0.9579018755526949</v>
      </c>
      <c r="P32" s="1">
        <f t="shared" ref="P32:P55" si="44">L32</f>
        <v>0.99884466905290392</v>
      </c>
      <c r="Q32" s="1">
        <f t="shared" si="11"/>
        <v>0.9579018755526949</v>
      </c>
    </row>
    <row r="33" spans="1:17" x14ac:dyDescent="0.25">
      <c r="A33">
        <f t="shared" si="2"/>
        <v>15.775000000000011</v>
      </c>
      <c r="B33">
        <f t="shared" si="0"/>
        <v>4.1977569921077001E-4</v>
      </c>
      <c r="C33">
        <f t="shared" si="1"/>
        <v>2.9160775196869509E-7</v>
      </c>
      <c r="H33">
        <f t="shared" si="38"/>
        <v>19.549999999999947</v>
      </c>
      <c r="I33" s="1">
        <f t="shared" si="39"/>
        <v>-1.7030878859857739</v>
      </c>
      <c r="J33" s="1">
        <f t="shared" si="40"/>
        <v>4.427581130565128E-2</v>
      </c>
      <c r="K33" s="1">
        <f t="shared" si="41"/>
        <v>-3.0180232558139841</v>
      </c>
      <c r="L33" s="1">
        <f t="shared" si="42"/>
        <v>0.99872785310569445</v>
      </c>
      <c r="O33" s="1">
        <f t="shared" si="43"/>
        <v>0.95572418869434872</v>
      </c>
      <c r="P33" s="1">
        <f t="shared" si="44"/>
        <v>0.99872785310569445</v>
      </c>
      <c r="Q33" s="1">
        <f t="shared" si="11"/>
        <v>0.95572418869434872</v>
      </c>
    </row>
    <row r="34" spans="1:17" x14ac:dyDescent="0.25">
      <c r="A34">
        <f t="shared" si="2"/>
        <v>15.800000000000011</v>
      </c>
      <c r="B34">
        <f t="shared" si="0"/>
        <v>4.3754316963343001E-4</v>
      </c>
      <c r="C34">
        <f t="shared" si="1"/>
        <v>3.1452742028818058E-7</v>
      </c>
      <c r="H34">
        <f t="shared" si="38"/>
        <v>19.599999999999948</v>
      </c>
      <c r="I34" s="1">
        <f t="shared" si="39"/>
        <v>-1.6793349168646334</v>
      </c>
      <c r="J34" s="1">
        <f t="shared" si="40"/>
        <v>4.6543394815498372E-2</v>
      </c>
      <c r="K34" s="1">
        <f t="shared" si="41"/>
        <v>-2.9889534883721232</v>
      </c>
      <c r="L34" s="1">
        <f t="shared" si="42"/>
        <v>0.99860032629119433</v>
      </c>
      <c r="O34" s="1">
        <f t="shared" si="43"/>
        <v>0.95345660518450159</v>
      </c>
      <c r="P34" s="1">
        <f t="shared" si="44"/>
        <v>0.99860032629119433</v>
      </c>
      <c r="Q34" s="1">
        <f t="shared" si="11"/>
        <v>0.95345660518450159</v>
      </c>
    </row>
    <row r="35" spans="1:17" x14ac:dyDescent="0.25">
      <c r="A35">
        <f t="shared" si="2"/>
        <v>15.825000000000012</v>
      </c>
      <c r="B35">
        <f t="shared" si="0"/>
        <v>4.5599834437247053E-4</v>
      </c>
      <c r="C35">
        <f t="shared" si="1"/>
        <v>3.3917685640465128E-7</v>
      </c>
      <c r="H35">
        <f t="shared" si="38"/>
        <v>19.649999999999949</v>
      </c>
      <c r="I35" s="1">
        <f t="shared" si="39"/>
        <v>-1.655581947743493</v>
      </c>
      <c r="J35" s="1">
        <f t="shared" si="40"/>
        <v>4.8903254228283385E-2</v>
      </c>
      <c r="K35" s="1">
        <f t="shared" si="41"/>
        <v>-2.9598837209302622</v>
      </c>
      <c r="L35" s="1">
        <f t="shared" si="42"/>
        <v>0.99846122411866389</v>
      </c>
      <c r="O35" s="1">
        <f t="shared" si="43"/>
        <v>0.95109674577171666</v>
      </c>
      <c r="P35" s="1">
        <f t="shared" si="44"/>
        <v>0.99846122411866389</v>
      </c>
      <c r="Q35" s="1">
        <f t="shared" si="11"/>
        <v>0.95109674577171666</v>
      </c>
    </row>
    <row r="36" spans="1:17" x14ac:dyDescent="0.25">
      <c r="A36">
        <f t="shared" si="2"/>
        <v>15.850000000000012</v>
      </c>
      <c r="B36">
        <f t="shared" si="0"/>
        <v>4.7516491451353058E-4</v>
      </c>
      <c r="C36">
        <f t="shared" si="1"/>
        <v>3.6568079980434679E-7</v>
      </c>
      <c r="H36">
        <f t="shared" si="38"/>
        <v>19.69999999999995</v>
      </c>
      <c r="I36" s="1">
        <f t="shared" si="39"/>
        <v>-1.6318289786223525</v>
      </c>
      <c r="J36" s="1">
        <f t="shared" si="40"/>
        <v>5.1357759407079151E-2</v>
      </c>
      <c r="K36" s="1">
        <f t="shared" si="41"/>
        <v>-2.9308139534884012</v>
      </c>
      <c r="L36" s="1">
        <f t="shared" si="42"/>
        <v>0.99830962407057944</v>
      </c>
      <c r="O36" s="1">
        <f t="shared" si="43"/>
        <v>0.9486422405929209</v>
      </c>
      <c r="P36" s="1">
        <f t="shared" si="44"/>
        <v>0.99830962407057944</v>
      </c>
      <c r="Q36" s="1">
        <f t="shared" si="11"/>
        <v>0.9486422405929209</v>
      </c>
    </row>
    <row r="37" spans="1:17" x14ac:dyDescent="0.25">
      <c r="A37">
        <f t="shared" si="2"/>
        <v>15.875000000000012</v>
      </c>
      <c r="B37">
        <f t="shared" si="0"/>
        <v>4.9506726133636571E-4</v>
      </c>
      <c r="C37">
        <f t="shared" si="1"/>
        <v>3.9417253040798968E-7</v>
      </c>
      <c r="H37">
        <f t="shared" si="38"/>
        <v>19.74999999999995</v>
      </c>
      <c r="I37" s="1">
        <f t="shared" si="39"/>
        <v>-1.6080760095012121</v>
      </c>
      <c r="J37" s="1">
        <f t="shared" si="40"/>
        <v>5.3909266357161631E-2</v>
      </c>
      <c r="K37" s="1">
        <f t="shared" si="41"/>
        <v>-2.9017441860465403</v>
      </c>
      <c r="L37" s="1">
        <f t="shared" si="42"/>
        <v>0.99814454280495379</v>
      </c>
      <c r="O37" s="1">
        <f t="shared" si="43"/>
        <v>0.94609073364283836</v>
      </c>
      <c r="P37" s="1">
        <f t="shared" si="44"/>
        <v>0.99814454280495379</v>
      </c>
      <c r="Q37" s="1">
        <f t="shared" si="11"/>
        <v>0.94609073364283836</v>
      </c>
    </row>
    <row r="38" spans="1:17" x14ac:dyDescent="0.25">
      <c r="A38">
        <f t="shared" si="2"/>
        <v>15.900000000000013</v>
      </c>
      <c r="B38">
        <f t="shared" si="0"/>
        <v>5.1573047128215181E-4</v>
      </c>
      <c r="C38">
        <f t="shared" si="1"/>
        <v>4.247944189334101E-7</v>
      </c>
      <c r="H38">
        <f t="shared" si="38"/>
        <v>19.799999999999951</v>
      </c>
      <c r="I38" s="1">
        <f t="shared" si="39"/>
        <v>-1.5843230403800717</v>
      </c>
      <c r="J38" s="1">
        <f t="shared" si="40"/>
        <v>5.6560112609240203E-2</v>
      </c>
      <c r="K38" s="1">
        <f t="shared" si="41"/>
        <v>-2.8726744186046793</v>
      </c>
      <c r="L38" s="1">
        <f t="shared" si="42"/>
        <v>0.99796493332091751</v>
      </c>
      <c r="O38" s="1">
        <f t="shared" si="43"/>
        <v>0.94343988739075979</v>
      </c>
      <c r="P38" s="1">
        <f t="shared" si="44"/>
        <v>0.99796493332091751</v>
      </c>
      <c r="Q38" s="1">
        <f t="shared" si="11"/>
        <v>0.94343988739075979</v>
      </c>
    </row>
    <row r="39" spans="1:17" x14ac:dyDescent="0.25">
      <c r="A39">
        <f t="shared" si="2"/>
        <v>15.925000000000013</v>
      </c>
      <c r="B39">
        <f t="shared" si="0"/>
        <v>5.3718035104113784E-4</v>
      </c>
      <c r="C39">
        <f t="shared" si="1"/>
        <v>4.5769851022725796E-7</v>
      </c>
      <c r="H39">
        <f t="shared" si="38"/>
        <v>19.849999999999952</v>
      </c>
      <c r="I39" s="1">
        <f t="shared" si="39"/>
        <v>-1.560570071258931</v>
      </c>
      <c r="J39" s="1">
        <f t="shared" si="40"/>
        <v>5.9312612462761101E-2</v>
      </c>
      <c r="K39" s="1">
        <f t="shared" si="41"/>
        <v>-2.8436046511628188</v>
      </c>
      <c r="L39" s="1">
        <f t="shared" si="42"/>
        <v>0.99776968209677142</v>
      </c>
      <c r="O39" s="1">
        <f t="shared" si="43"/>
        <v>0.94068738753723891</v>
      </c>
      <c r="P39" s="1">
        <f t="shared" si="44"/>
        <v>0.99776968209677142</v>
      </c>
      <c r="Q39" s="1">
        <f t="shared" si="11"/>
        <v>0.94068738753723891</v>
      </c>
    </row>
    <row r="40" spans="1:17" x14ac:dyDescent="0.25">
      <c r="A40">
        <f t="shared" si="2"/>
        <v>15.950000000000014</v>
      </c>
      <c r="B40">
        <f t="shared" si="0"/>
        <v>5.5944344275267086E-4</v>
      </c>
      <c r="C40">
        <f t="shared" si="1"/>
        <v>4.930471413666003E-7</v>
      </c>
      <c r="H40">
        <f t="shared" si="38"/>
        <v>19.899999999999952</v>
      </c>
      <c r="I40" s="1">
        <f t="shared" si="39"/>
        <v>-1.5368171021377905</v>
      </c>
      <c r="J40" s="1">
        <f t="shared" si="40"/>
        <v>6.2169052097468341E-2</v>
      </c>
      <c r="K40" s="1">
        <f t="shared" si="41"/>
        <v>-2.8145348837209578</v>
      </c>
      <c r="L40" s="1">
        <f t="shared" si="42"/>
        <v>0.99755760621068368</v>
      </c>
      <c r="O40" s="1">
        <f t="shared" si="43"/>
        <v>0.93783094790253163</v>
      </c>
      <c r="P40" s="1">
        <f t="shared" si="44"/>
        <v>0.99755760621068368</v>
      </c>
      <c r="Q40" s="1">
        <f t="shared" si="11"/>
        <v>0.93783094790253163</v>
      </c>
    </row>
    <row r="41" spans="1:17" x14ac:dyDescent="0.25">
      <c r="A41">
        <f t="shared" si="2"/>
        <v>15.975000000000014</v>
      </c>
      <c r="B41">
        <f t="shared" si="0"/>
        <v>5.8254703930913721E-4</v>
      </c>
      <c r="C41">
        <f t="shared" si="1"/>
        <v>5.3101359641789954E-7</v>
      </c>
      <c r="H41">
        <f t="shared" si="38"/>
        <v>19.949999999999953</v>
      </c>
      <c r="I41" s="1">
        <f t="shared" si="39"/>
        <v>-1.5130641330166501</v>
      </c>
      <c r="J41" s="1">
        <f t="shared" si="40"/>
        <v>6.5131684562180034E-2</v>
      </c>
      <c r="K41" s="1">
        <f t="shared" si="41"/>
        <v>-2.7854651162790969</v>
      </c>
      <c r="L41" s="1">
        <f t="shared" si="42"/>
        <v>0.99732745045519489</v>
      </c>
      <c r="O41" s="1">
        <f t="shared" si="43"/>
        <v>0.93486831543782001</v>
      </c>
      <c r="P41" s="1">
        <f t="shared" si="44"/>
        <v>0.99732745045519489</v>
      </c>
      <c r="Q41" s="1">
        <f t="shared" si="11"/>
        <v>0.93486831543782001</v>
      </c>
    </row>
    <row r="42" spans="1:17" x14ac:dyDescent="0.25">
      <c r="A42">
        <f t="shared" si="2"/>
        <v>16.000000000000014</v>
      </c>
      <c r="B42">
        <f t="shared" si="0"/>
        <v>6.0651919975494102E-4</v>
      </c>
      <c r="C42">
        <f t="shared" si="1"/>
        <v>5.7178279983100226E-7</v>
      </c>
      <c r="H42">
        <f t="shared" si="38"/>
        <v>19.999999999999954</v>
      </c>
      <c r="I42" s="1">
        <f t="shared" si="39"/>
        <v>-1.4893111638955097</v>
      </c>
      <c r="J42" s="1">
        <f t="shared" si="40"/>
        <v>6.82027246505051E-2</v>
      </c>
      <c r="K42" s="1">
        <f t="shared" si="41"/>
        <v>-2.7563953488372359</v>
      </c>
      <c r="L42" s="1">
        <f t="shared" si="42"/>
        <v>0.99707788445769419</v>
      </c>
      <c r="O42" s="1">
        <f t="shared" si="43"/>
        <v>0.93179727534949486</v>
      </c>
      <c r="P42" s="1">
        <f t="shared" si="44"/>
        <v>0.99707788445769419</v>
      </c>
      <c r="Q42" s="1">
        <f t="shared" si="11"/>
        <v>0.93179727534949486</v>
      </c>
    </row>
    <row r="43" spans="1:17" x14ac:dyDescent="0.25">
      <c r="A43">
        <f t="shared" si="2"/>
        <v>16.025000000000013</v>
      </c>
      <c r="B43">
        <f t="shared" si="0"/>
        <v>6.3138876477115068E-4</v>
      </c>
      <c r="C43">
        <f t="shared" si="1"/>
        <v>6.1555205053940233E-7</v>
      </c>
      <c r="H43">
        <f t="shared" si="38"/>
        <v>20.049999999999955</v>
      </c>
      <c r="I43" s="1">
        <f t="shared" si="39"/>
        <v>-1.4655581947743692</v>
      </c>
      <c r="J43" s="1">
        <f t="shared" si="40"/>
        <v>7.1384343673980638E-2</v>
      </c>
      <c r="K43" s="1">
        <f t="shared" si="41"/>
        <v>-2.727325581395375</v>
      </c>
      <c r="L43" s="1">
        <f t="shared" si="42"/>
        <v>0.99680749982004935</v>
      </c>
      <c r="O43" s="1">
        <f t="shared" si="43"/>
        <v>0.92861565632601939</v>
      </c>
      <c r="P43" s="1">
        <f t="shared" si="44"/>
        <v>0.99680749982004935</v>
      </c>
      <c r="Q43" s="1">
        <f t="shared" si="11"/>
        <v>0.92861565632601939</v>
      </c>
    </row>
    <row r="44" spans="1:17" x14ac:dyDescent="0.25">
      <c r="A44">
        <f t="shared" si="2"/>
        <v>16.050000000000011</v>
      </c>
      <c r="B44">
        <f t="shared" si="0"/>
        <v>6.5718537223597774E-4</v>
      </c>
      <c r="C44">
        <f t="shared" si="1"/>
        <v>6.6253179893528685E-7</v>
      </c>
      <c r="H44">
        <f t="shared" si="38"/>
        <v>20.099999999999955</v>
      </c>
      <c r="I44" s="1">
        <f t="shared" si="39"/>
        <v>-1.4418052256532288</v>
      </c>
      <c r="J44" s="1">
        <f t="shared" si="40"/>
        <v>7.4678664143854781E-2</v>
      </c>
      <c r="K44" s="1">
        <f t="shared" si="41"/>
        <v>-2.6982558139535144</v>
      </c>
      <c r="L44" s="1">
        <f t="shared" si="42"/>
        <v>0.99651480729159547</v>
      </c>
      <c r="O44" s="1">
        <f t="shared" si="43"/>
        <v>0.92532133585614518</v>
      </c>
      <c r="P44" s="1">
        <f t="shared" si="44"/>
        <v>0.99651480729159547</v>
      </c>
      <c r="Q44" s="1">
        <f t="shared" si="11"/>
        <v>0.92532133585614518</v>
      </c>
    </row>
    <row r="45" spans="1:17" x14ac:dyDescent="0.25">
      <c r="A45">
        <f t="shared" si="2"/>
        <v>16.07500000000001</v>
      </c>
      <c r="B45">
        <f t="shared" si="0"/>
        <v>6.8393947285078169E-4</v>
      </c>
      <c r="C45">
        <f t="shared" si="1"/>
        <v>7.1294646898876791E-7</v>
      </c>
      <c r="H45">
        <f t="shared" si="38"/>
        <v>20.149999999999956</v>
      </c>
      <c r="I45" s="1">
        <f t="shared" si="39"/>
        <v>-1.4180522565320881</v>
      </c>
      <c r="J45" s="1">
        <f t="shared" si="40"/>
        <v>7.8087754373464602E-2</v>
      </c>
      <c r="K45" s="1">
        <f t="shared" si="41"/>
        <v>-2.6691860465116535</v>
      </c>
      <c r="L45" s="1">
        <f t="shared" si="42"/>
        <v>0.99619823399070628</v>
      </c>
      <c r="O45" s="1">
        <f t="shared" si="43"/>
        <v>0.9219122456265354</v>
      </c>
      <c r="P45" s="1">
        <f t="shared" si="44"/>
        <v>0.99619823399070628</v>
      </c>
      <c r="Q45" s="1">
        <f t="shared" si="11"/>
        <v>0.9219122456265354</v>
      </c>
    </row>
    <row r="46" spans="1:17" x14ac:dyDescent="0.25">
      <c r="A46">
        <f t="shared" si="2"/>
        <v>16.100000000000009</v>
      </c>
      <c r="B46">
        <f t="shared" si="0"/>
        <v>7.1168234582078297E-4</v>
      </c>
      <c r="C46">
        <f t="shared" si="1"/>
        <v>7.670353278854504E-7</v>
      </c>
      <c r="H46">
        <f t="shared" si="38"/>
        <v>20.199999999999957</v>
      </c>
      <c r="I46" s="1">
        <f t="shared" si="39"/>
        <v>-1.3942992874109477</v>
      </c>
      <c r="J46" s="1">
        <f t="shared" si="40"/>
        <v>8.1613623013861589E-2</v>
      </c>
      <c r="K46" s="1">
        <f t="shared" si="41"/>
        <v>-2.6401162790697925</v>
      </c>
      <c r="L46" s="1">
        <f t="shared" si="42"/>
        <v>0.99585612069118734</v>
      </c>
      <c r="O46" s="1">
        <f t="shared" si="43"/>
        <v>0.91838637698613845</v>
      </c>
      <c r="P46" s="1">
        <f t="shared" si="44"/>
        <v>0.99585612069118734</v>
      </c>
      <c r="Q46" s="1">
        <f t="shared" si="11"/>
        <v>0.91838637698613845</v>
      </c>
    </row>
    <row r="47" spans="1:17" x14ac:dyDescent="0.25">
      <c r="A47">
        <f t="shared" si="2"/>
        <v>16.125000000000007</v>
      </c>
      <c r="B47">
        <f t="shared" si="0"/>
        <v>7.4044611457919722E-4</v>
      </c>
      <c r="C47">
        <f t="shared" si="1"/>
        <v>8.2505340566491706E-7</v>
      </c>
      <c r="H47">
        <f t="shared" si="38"/>
        <v>20.249999999999957</v>
      </c>
      <c r="I47" s="1">
        <f t="shared" si="39"/>
        <v>-1.3705463182898072</v>
      </c>
      <c r="J47" s="1">
        <f t="shared" si="40"/>
        <v>8.525821353601612E-2</v>
      </c>
      <c r="K47" s="1">
        <f t="shared" si="41"/>
        <v>-2.6110465116279316</v>
      </c>
      <c r="L47" s="1">
        <f t="shared" si="42"/>
        <v>0.99548671919072729</v>
      </c>
      <c r="O47" s="1">
        <f t="shared" si="43"/>
        <v>0.91474178646398385</v>
      </c>
      <c r="P47" s="1">
        <f t="shared" si="44"/>
        <v>0.99548671919072729</v>
      </c>
      <c r="Q47" s="1">
        <f t="shared" si="11"/>
        <v>0.91474178646398385</v>
      </c>
    </row>
    <row r="48" spans="1:17" x14ac:dyDescent="0.25">
      <c r="A48">
        <f t="shared" si="2"/>
        <v>16.150000000000006</v>
      </c>
      <c r="B48">
        <f t="shared" si="0"/>
        <v>7.7026376254296744E-4</v>
      </c>
      <c r="C48">
        <f t="shared" si="1"/>
        <v>8.8727246745531825E-7</v>
      </c>
      <c r="H48">
        <f t="shared" si="38"/>
        <v>20.299999999999958</v>
      </c>
      <c r="I48" s="1">
        <f t="shared" si="39"/>
        <v>-1.3467933491686668</v>
      </c>
      <c r="J48" s="1">
        <f t="shared" si="40"/>
        <v>8.9023398673579876E-2</v>
      </c>
      <c r="K48" s="1">
        <f t="shared" si="41"/>
        <v>-2.5819767441860706</v>
      </c>
      <c r="L48" s="1">
        <f t="shared" si="42"/>
        <v>0.99508818977961644</v>
      </c>
      <c r="O48" s="1">
        <f t="shared" si="43"/>
        <v>0.91097660132642011</v>
      </c>
      <c r="P48" s="1">
        <f t="shared" si="44"/>
        <v>0.99508818977961644</v>
      </c>
      <c r="Q48" s="1">
        <f t="shared" si="11"/>
        <v>0.91097660132642011</v>
      </c>
    </row>
    <row r="49" spans="1:17" x14ac:dyDescent="0.25">
      <c r="A49">
        <f t="shared" si="2"/>
        <v>16.175000000000004</v>
      </c>
      <c r="B49">
        <f t="shared" si="0"/>
        <v>8.0116914888778981E-4</v>
      </c>
      <c r="C49">
        <f t="shared" si="1"/>
        <v>9.5398204101560559E-7</v>
      </c>
      <c r="H49">
        <f t="shared" si="38"/>
        <v>20.349999999999959</v>
      </c>
      <c r="I49" s="1">
        <f t="shared" si="39"/>
        <v>-1.3230403800475263</v>
      </c>
      <c r="J49" s="1">
        <f t="shared" si="40"/>
        <v>9.2910974840799229E-2</v>
      </c>
      <c r="K49" s="1">
        <f t="shared" si="41"/>
        <v>-2.5529069767442096</v>
      </c>
      <c r="L49" s="1">
        <f t="shared" si="42"/>
        <v>0.99465859882888308</v>
      </c>
      <c r="O49" s="1">
        <f t="shared" si="43"/>
        <v>0.90708902515920076</v>
      </c>
      <c r="P49" s="1">
        <f t="shared" si="44"/>
        <v>0.99465859882888308</v>
      </c>
      <c r="Q49" s="1">
        <f t="shared" si="11"/>
        <v>0.90708902515920076</v>
      </c>
    </row>
    <row r="50" spans="1:17" x14ac:dyDescent="0.25">
      <c r="A50">
        <f t="shared" si="2"/>
        <v>16.200000000000003</v>
      </c>
      <c r="B50">
        <f t="shared" si="0"/>
        <v>8.3319702432958157E-4</v>
      </c>
      <c r="C50">
        <f t="shared" si="1"/>
        <v>1.0254905024175506E-6</v>
      </c>
      <c r="H50">
        <f t="shared" si="38"/>
        <v>20.399999999999959</v>
      </c>
      <c r="I50" s="1">
        <f t="shared" si="39"/>
        <v>-1.2992874109263859</v>
      </c>
      <c r="J50" s="1">
        <f t="shared" si="40"/>
        <v>9.692265654075051E-2</v>
      </c>
      <c r="K50" s="1">
        <f t="shared" si="41"/>
        <v>-2.5238372093023491</v>
      </c>
      <c r="L50" s="1">
        <f t="shared" si="42"/>
        <v>0.99419591651789352</v>
      </c>
      <c r="O50" s="1">
        <f t="shared" si="43"/>
        <v>0.9030773434592495</v>
      </c>
      <c r="P50" s="1">
        <f t="shared" si="44"/>
        <v>0.99419591651789352</v>
      </c>
      <c r="Q50" s="1">
        <f t="shared" si="11"/>
        <v>0.9030773434592495</v>
      </c>
    </row>
    <row r="51" spans="1:17" x14ac:dyDescent="0.25">
      <c r="A51">
        <f t="shared" si="2"/>
        <v>16.225000000000001</v>
      </c>
      <c r="B51">
        <f t="shared" si="0"/>
        <v>8.6638304689904203E-4</v>
      </c>
      <c r="C51">
        <f t="shared" si="1"/>
        <v>1.1021262228244547E-6</v>
      </c>
      <c r="H51">
        <f t="shared" si="38"/>
        <v>20.44999999999996</v>
      </c>
      <c r="I51" s="1">
        <f t="shared" si="39"/>
        <v>-1.2755344418052452</v>
      </c>
      <c r="J51" s="1">
        <f t="shared" si="40"/>
        <v>0.10106007077960212</v>
      </c>
      <c r="K51" s="1">
        <f t="shared" si="41"/>
        <v>-2.4947674418604882</v>
      </c>
      <c r="L51" s="1">
        <f t="shared" si="42"/>
        <v>0.99369801472231245</v>
      </c>
      <c r="O51" s="1">
        <f t="shared" si="43"/>
        <v>0.89893992922039789</v>
      </c>
      <c r="P51" s="1">
        <f t="shared" si="44"/>
        <v>0.99369801472231245</v>
      </c>
      <c r="Q51" s="1">
        <f t="shared" si="11"/>
        <v>0.89893992922039789</v>
      </c>
    </row>
    <row r="52" spans="1:17" x14ac:dyDescent="0.25">
      <c r="A52">
        <f t="shared" si="2"/>
        <v>16.25</v>
      </c>
      <c r="B52">
        <f t="shared" si="0"/>
        <v>9.0076379769541738E-4</v>
      </c>
      <c r="C52">
        <f t="shared" si="1"/>
        <v>1.1842387794522398E-6</v>
      </c>
      <c r="H52">
        <f t="shared" si="38"/>
        <v>20.499999999999961</v>
      </c>
      <c r="I52" s="1">
        <f t="shared" si="39"/>
        <v>-1.2517814726841048</v>
      </c>
      <c r="J52" s="1">
        <f t="shared" si="40"/>
        <v>0.1053247515030982</v>
      </c>
      <c r="K52" s="1">
        <f t="shared" si="41"/>
        <v>-2.4656976744186272</v>
      </c>
      <c r="L52" s="1">
        <f t="shared" si="42"/>
        <v>0.99316266508409956</v>
      </c>
      <c r="O52" s="1">
        <f t="shared" si="43"/>
        <v>0.89467524849690183</v>
      </c>
      <c r="P52" s="1">
        <f t="shared" si="44"/>
        <v>0.99316266508409956</v>
      </c>
      <c r="Q52" s="1">
        <f t="shared" si="11"/>
        <v>0.89467524849690183</v>
      </c>
    </row>
    <row r="53" spans="1:17" x14ac:dyDescent="0.25">
      <c r="A53">
        <f t="shared" si="2"/>
        <v>16.274999999999999</v>
      </c>
      <c r="B53">
        <f t="shared" si="0"/>
        <v>9.3637679660501854E-4</v>
      </c>
      <c r="C53">
        <f t="shared" si="1"/>
        <v>1.2722002339320185E-6</v>
      </c>
      <c r="H53">
        <f t="shared" si="38"/>
        <v>20.549999999999962</v>
      </c>
      <c r="I53" s="1">
        <f t="shared" si="39"/>
        <v>-1.2280285035629643</v>
      </c>
      <c r="J53" s="1">
        <f t="shared" si="40"/>
        <v>0.10971813407190004</v>
      </c>
      <c r="K53" s="1">
        <f t="shared" si="41"/>
        <v>-2.4366279069767662</v>
      </c>
      <c r="L53" s="1">
        <f t="shared" si="42"/>
        <v>0.99258753728593485</v>
      </c>
      <c r="O53" s="1">
        <f t="shared" si="43"/>
        <v>0.89028186592809999</v>
      </c>
      <c r="P53" s="1">
        <f t="shared" si="44"/>
        <v>0.99258753728593485</v>
      </c>
      <c r="Q53" s="1">
        <f t="shared" si="11"/>
        <v>0.89028186592809999</v>
      </c>
    </row>
    <row r="54" spans="1:17" x14ac:dyDescent="0.25">
      <c r="A54">
        <f t="shared" si="2"/>
        <v>16.299999999999997</v>
      </c>
      <c r="B54">
        <f t="shared" si="0"/>
        <v>9.7326051796955959E-4</v>
      </c>
      <c r="C54">
        <f t="shared" si="1"/>
        <v>1.3664064814306371E-6</v>
      </c>
      <c r="H54">
        <f t="shared" si="38"/>
        <v>20.599999999999962</v>
      </c>
      <c r="I54" s="1">
        <f t="shared" si="39"/>
        <v>-1.2042755344418239</v>
      </c>
      <c r="J54" s="1">
        <f t="shared" si="40"/>
        <v>0.11424154979280711</v>
      </c>
      <c r="K54" s="1">
        <f t="shared" si="41"/>
        <v>-2.4075581395349053</v>
      </c>
      <c r="L54" s="1">
        <f t="shared" si="42"/>
        <v>0.99197019755308968</v>
      </c>
      <c r="O54" s="1">
        <f t="shared" si="43"/>
        <v>0.8857584502071929</v>
      </c>
      <c r="P54" s="1">
        <f t="shared" si="44"/>
        <v>0.99197019755308968</v>
      </c>
      <c r="Q54" s="1">
        <f t="shared" si="11"/>
        <v>0.8857584502071929</v>
      </c>
    </row>
    <row r="55" spans="1:17" x14ac:dyDescent="0.25">
      <c r="A55">
        <f t="shared" si="2"/>
        <v>16.324999999999996</v>
      </c>
      <c r="B55">
        <f t="shared" si="0"/>
        <v>1.0114544061887798E-3</v>
      </c>
      <c r="C55">
        <f t="shared" si="1"/>
        <v>1.4672786740277275E-6</v>
      </c>
      <c r="H55">
        <f t="shared" si="38"/>
        <v>20.649999999999963</v>
      </c>
      <c r="I55" s="1">
        <f t="shared" si="39"/>
        <v>-1.1805225653206834</v>
      </c>
      <c r="J55" s="1">
        <f t="shared" si="40"/>
        <v>0.11889622052321425</v>
      </c>
      <c r="K55" s="1">
        <f t="shared" si="41"/>
        <v>-2.3784883720930448</v>
      </c>
      <c r="L55" s="1">
        <f t="shared" si="42"/>
        <v>0.99130810740630138</v>
      </c>
      <c r="O55" s="1">
        <f t="shared" si="43"/>
        <v>0.88110377947678575</v>
      </c>
      <c r="P55" s="1">
        <f t="shared" si="44"/>
        <v>0.99130810740630138</v>
      </c>
      <c r="Q55" s="1">
        <f t="shared" si="11"/>
        <v>0.88110377947678575</v>
      </c>
    </row>
    <row r="56" spans="1:17" x14ac:dyDescent="0.25">
      <c r="A56">
        <f t="shared" si="2"/>
        <v>16.349999999999994</v>
      </c>
      <c r="B56">
        <f t="shared" si="0"/>
        <v>1.0509988912413E-3</v>
      </c>
      <c r="C56">
        <f t="shared" si="1"/>
        <v>1.5752647219942128E-6</v>
      </c>
      <c r="H56">
        <f t="shared" ref="H56:H67" si="45">H57-0.05</f>
        <v>20.699999999999964</v>
      </c>
      <c r="I56" s="1">
        <f t="shared" ref="I56:I67" si="46">($H56-I$4)/J$4</f>
        <v>-1.156769596199543</v>
      </c>
      <c r="J56" s="1">
        <f t="shared" ref="J56:J67" si="47">_xlfn.NORM.DIST(I56,0,1,1)</f>
        <v>0.12368325336642982</v>
      </c>
      <c r="K56" s="1">
        <f t="shared" ref="K56:K67" si="48">($H56-K$4)/L$4</f>
        <v>-2.3494186046511838</v>
      </c>
      <c r="L56" s="1">
        <f t="shared" ref="L56:L67" si="49">1-_xlfn.NORM.DIST(K56,0,1,1)</f>
        <v>0.99059862268963605</v>
      </c>
      <c r="O56" s="1">
        <f>1-J56</f>
        <v>0.87631674663357018</v>
      </c>
      <c r="P56" s="1">
        <f>L56</f>
        <v>0.99059862268963605</v>
      </c>
      <c r="Q56" s="1">
        <f t="shared" si="11"/>
        <v>0.87631674663357018</v>
      </c>
    </row>
    <row r="57" spans="1:17" x14ac:dyDescent="0.25">
      <c r="A57">
        <f t="shared" si="2"/>
        <v>16.374999999999993</v>
      </c>
      <c r="B57">
        <f t="shared" si="0"/>
        <v>1.0919354041071052E-3</v>
      </c>
      <c r="C57">
        <f t="shared" si="1"/>
        <v>1.6908408767680012E-6</v>
      </c>
      <c r="H57">
        <f t="shared" si="45"/>
        <v>20.749999999999964</v>
      </c>
      <c r="I57" s="1">
        <f t="shared" si="46"/>
        <v>-1.1330166270784023</v>
      </c>
      <c r="J57" s="1">
        <f t="shared" si="47"/>
        <v>0.12860363547569306</v>
      </c>
      <c r="K57" s="1">
        <f t="shared" si="48"/>
        <v>-2.3203488372093228</v>
      </c>
      <c r="L57" s="1">
        <f t="shared" si="49"/>
        <v>0.98983899289764332</v>
      </c>
      <c r="O57" s="1">
        <f t="shared" ref="O57:O120" si="50">1-J57</f>
        <v>0.87139636452430691</v>
      </c>
      <c r="P57" s="1">
        <f t="shared" ref="P57:P120" si="51">L57</f>
        <v>0.98983899289764332</v>
      </c>
      <c r="Q57" s="1">
        <f t="shared" si="11"/>
        <v>0.87139636452430691</v>
      </c>
    </row>
    <row r="58" spans="1:17" x14ac:dyDescent="0.25">
      <c r="A58">
        <f t="shared" si="2"/>
        <v>16.399999999999991</v>
      </c>
      <c r="B58">
        <f t="shared" si="0"/>
        <v>1.1343063920744739E-3</v>
      </c>
      <c r="C58">
        <f t="shared" si="1"/>
        <v>1.8145133995782158E-6</v>
      </c>
      <c r="H58">
        <f t="shared" si="45"/>
        <v>20.799999999999965</v>
      </c>
      <c r="I58" s="1">
        <f t="shared" si="46"/>
        <v>-1.1092636579572619</v>
      </c>
      <c r="J58" s="1">
        <f t="shared" si="47"/>
        <v>0.1336582289848702</v>
      </c>
      <c r="K58" s="1">
        <f t="shared" si="48"/>
        <v>-2.2912790697674619</v>
      </c>
      <c r="L58" s="1">
        <f t="shared" si="49"/>
        <v>0.98902636082629702</v>
      </c>
      <c r="O58" s="1">
        <f t="shared" si="50"/>
        <v>0.86634177101512977</v>
      </c>
      <c r="P58" s="1">
        <f t="shared" si="51"/>
        <v>0.98902636082629702</v>
      </c>
      <c r="Q58" s="1">
        <f t="shared" si="11"/>
        <v>0.86634177101512977</v>
      </c>
    </row>
    <row r="59" spans="1:17" x14ac:dyDescent="0.25">
      <c r="A59">
        <f t="shared" si="2"/>
        <v>16.42499999999999</v>
      </c>
      <c r="B59">
        <f t="shared" si="0"/>
        <v>1.1781553339136558E-3</v>
      </c>
      <c r="C59">
        <f t="shared" si="1"/>
        <v>1.9468203198290232E-6</v>
      </c>
      <c r="H59">
        <f t="shared" si="45"/>
        <v>20.849999999999966</v>
      </c>
      <c r="I59" s="1">
        <f t="shared" si="46"/>
        <v>-1.0855106888361215</v>
      </c>
      <c r="J59" s="1">
        <f t="shared" si="47"/>
        <v>0.13884776608388774</v>
      </c>
      <c r="K59" s="1">
        <f t="shared" si="48"/>
        <v>-2.2622093023256009</v>
      </c>
      <c r="L59" s="1">
        <f t="shared" si="49"/>
        <v>0.98815776257226839</v>
      </c>
      <c r="O59" s="1">
        <f t="shared" si="50"/>
        <v>0.86115223391611229</v>
      </c>
      <c r="P59" s="1">
        <f t="shared" si="51"/>
        <v>0.98815776257226839</v>
      </c>
      <c r="Q59" s="1">
        <f t="shared" si="11"/>
        <v>0.86115223391611229</v>
      </c>
    </row>
    <row r="60" spans="1:17" x14ac:dyDescent="0.25">
      <c r="A60">
        <f t="shared" si="2"/>
        <v>16.449999999999989</v>
      </c>
      <c r="B60">
        <f t="shared" si="0"/>
        <v>1.2235267548989957E-3</v>
      </c>
      <c r="C60">
        <f t="shared" si="1"/>
        <v>2.0883332875189531E-6</v>
      </c>
      <c r="H60">
        <f t="shared" si="45"/>
        <v>20.899999999999967</v>
      </c>
      <c r="I60" s="1">
        <f t="shared" si="46"/>
        <v>-1.061757719714981</v>
      </c>
      <c r="J60" s="1">
        <f t="shared" si="47"/>
        <v>0.14417284425696586</v>
      </c>
      <c r="K60" s="1">
        <f t="shared" si="48"/>
        <v>-2.2331395348837404</v>
      </c>
      <c r="L60" s="1">
        <f t="shared" si="49"/>
        <v>0.98723012790499032</v>
      </c>
      <c r="O60" s="1">
        <f t="shared" si="50"/>
        <v>0.85582715574303414</v>
      </c>
      <c r="P60" s="1">
        <f t="shared" si="51"/>
        <v>0.98723012790499032</v>
      </c>
      <c r="Q60" s="1">
        <f t="shared" si="11"/>
        <v>0.85582715574303414</v>
      </c>
    </row>
    <row r="61" spans="1:17" x14ac:dyDescent="0.25">
      <c r="A61">
        <f t="shared" si="2"/>
        <v>16.474999999999987</v>
      </c>
      <c r="B61">
        <f t="shared" si="0"/>
        <v>1.2704662416606943E-3</v>
      </c>
      <c r="C61">
        <f t="shared" si="1"/>
        <v>2.2396595241403632E-6</v>
      </c>
      <c r="H61">
        <f t="shared" si="45"/>
        <v>20.949999999999967</v>
      </c>
      <c r="I61" s="1">
        <f t="shared" si="46"/>
        <v>-1.0380047505938406</v>
      </c>
      <c r="J61" s="1">
        <f t="shared" si="47"/>
        <v>0.14963392170165088</v>
      </c>
      <c r="K61" s="1">
        <f t="shared" si="48"/>
        <v>-2.2040697674418794</v>
      </c>
      <c r="L61" s="1">
        <f t="shared" si="49"/>
        <v>0.98624028103571915</v>
      </c>
      <c r="O61" s="1">
        <f t="shared" si="50"/>
        <v>0.85036607829834909</v>
      </c>
      <c r="P61" s="1">
        <f t="shared" si="51"/>
        <v>0.98624028103571915</v>
      </c>
      <c r="Q61" s="1">
        <f t="shared" si="11"/>
        <v>0.85036607829834909</v>
      </c>
    </row>
    <row r="62" spans="1:17" x14ac:dyDescent="0.25">
      <c r="A62">
        <f t="shared" si="2"/>
        <v>16.499999999999986</v>
      </c>
      <c r="B62">
        <f t="shared" si="0"/>
        <v>1.3190204568467709E-3</v>
      </c>
      <c r="C62">
        <f t="shared" si="1"/>
        <v>2.401443876677866E-6</v>
      </c>
      <c r="H62">
        <f t="shared" si="45"/>
        <v>20.999999999999968</v>
      </c>
      <c r="I62" s="1">
        <f t="shared" si="46"/>
        <v>-1.0142517814727001</v>
      </c>
      <c r="J62" s="1">
        <f t="shared" si="47"/>
        <v>0.15523131294650516</v>
      </c>
      <c r="K62" s="1">
        <f t="shared" si="48"/>
        <v>-2.1750000000000185</v>
      </c>
      <c r="L62" s="1">
        <f t="shared" si="49"/>
        <v>0.9851849418073908</v>
      </c>
      <c r="O62" s="1">
        <f t="shared" si="50"/>
        <v>0.84476868705349484</v>
      </c>
      <c r="P62" s="1">
        <f t="shared" si="51"/>
        <v>0.9851849418073908</v>
      </c>
      <c r="Q62" s="1">
        <f t="shared" si="11"/>
        <v>0.84476868705349484</v>
      </c>
    </row>
    <row r="63" spans="1:17" x14ac:dyDescent="0.25">
      <c r="A63">
        <f t="shared" si="2"/>
        <v>16.524999999999984</v>
      </c>
      <c r="B63">
        <f t="shared" si="0"/>
        <v>1.3692371535753303E-3</v>
      </c>
      <c r="C63">
        <f t="shared" si="1"/>
        <v>2.5743709795023695E-6</v>
      </c>
      <c r="H63">
        <f t="shared" si="45"/>
        <v>21.049999999999969</v>
      </c>
      <c r="I63" s="1">
        <f t="shared" si="46"/>
        <v>-0.99049881235155957</v>
      </c>
      <c r="J63" s="1">
        <f t="shared" si="47"/>
        <v>0.16096518468509874</v>
      </c>
      <c r="K63" s="1">
        <f t="shared" si="48"/>
        <v>-2.1459302325581575</v>
      </c>
      <c r="L63" s="1">
        <f t="shared" si="49"/>
        <v>0.98406072732848049</v>
      </c>
      <c r="O63" s="1">
        <f t="shared" si="50"/>
        <v>0.83903481531490121</v>
      </c>
      <c r="P63" s="1">
        <f t="shared" si="51"/>
        <v>0.98406072732848049</v>
      </c>
      <c r="Q63" s="1">
        <f t="shared" si="11"/>
        <v>0.83903481531490121</v>
      </c>
    </row>
    <row r="64" spans="1:17" x14ac:dyDescent="0.25">
      <c r="A64">
        <f t="shared" si="2"/>
        <v>16.549999999999983</v>
      </c>
      <c r="B64">
        <f t="shared" si="0"/>
        <v>1.4211651896565718E-3</v>
      </c>
      <c r="C64">
        <f t="shared" si="1"/>
        <v>2.7591675291406016E-6</v>
      </c>
      <c r="H64">
        <f t="shared" si="45"/>
        <v>21.099999999999969</v>
      </c>
      <c r="I64" s="1">
        <f t="shared" si="46"/>
        <v>-0.96674584323041901</v>
      </c>
      <c r="J64" s="1">
        <f t="shared" si="47"/>
        <v>0.16683555184365642</v>
      </c>
      <c r="K64" s="1">
        <f t="shared" si="48"/>
        <v>-2.1168604651162966</v>
      </c>
      <c r="L64" s="1">
        <f t="shared" si="49"/>
        <v>0.98286415407330707</v>
      </c>
      <c r="O64" s="1">
        <f t="shared" si="50"/>
        <v>0.83316444815634361</v>
      </c>
      <c r="P64" s="1">
        <f t="shared" si="51"/>
        <v>0.98286415407330707</v>
      </c>
      <c r="Q64" s="1">
        <f t="shared" si="11"/>
        <v>0.83316444815634361</v>
      </c>
    </row>
    <row r="65" spans="1:17" x14ac:dyDescent="0.25">
      <c r="A65">
        <f t="shared" si="2"/>
        <v>16.574999999999982</v>
      </c>
      <c r="B65">
        <f t="shared" si="0"/>
        <v>1.4748545415635256E-3</v>
      </c>
      <c r="C65">
        <f t="shared" si="1"/>
        <v>2.9566046770871725E-6</v>
      </c>
      <c r="H65">
        <f t="shared" si="45"/>
        <v>21.14999999999997</v>
      </c>
      <c r="I65" s="1">
        <f t="shared" si="46"/>
        <v>-0.94299287410927857</v>
      </c>
      <c r="J65" s="1">
        <f t="shared" si="47"/>
        <v>0.17284227389934723</v>
      </c>
      <c r="K65" s="1">
        <f t="shared" si="48"/>
        <v>-2.0877906976744356</v>
      </c>
      <c r="L65" s="1">
        <f t="shared" si="49"/>
        <v>0.98159164047026826</v>
      </c>
      <c r="O65" s="1">
        <f t="shared" si="50"/>
        <v>0.82715772610065275</v>
      </c>
      <c r="P65" s="1">
        <f t="shared" si="51"/>
        <v>0.98159164047026826</v>
      </c>
      <c r="Q65" s="1">
        <f t="shared" si="11"/>
        <v>0.82715772610065275</v>
      </c>
    </row>
    <row r="66" spans="1:17" x14ac:dyDescent="0.25">
      <c r="A66">
        <f t="shared" si="2"/>
        <v>16.59999999999998</v>
      </c>
      <c r="B66">
        <f t="shared" si="0"/>
        <v>1.5303563181298693E-3</v>
      </c>
      <c r="C66">
        <f t="shared" si="1"/>
        <v>3.1675005460180861E-6</v>
      </c>
      <c r="H66">
        <f t="shared" si="45"/>
        <v>21.199999999999971</v>
      </c>
      <c r="I66" s="1">
        <f t="shared" si="46"/>
        <v>-0.91923990498813812</v>
      </c>
      <c r="J66" s="1">
        <f t="shared" si="47"/>
        <v>0.1789850514657588</v>
      </c>
      <c r="K66" s="1">
        <f t="shared" si="48"/>
        <v>-2.0587209302325751</v>
      </c>
      <c r="L66" s="1">
        <f t="shared" si="49"/>
        <v>0.98023950999834253</v>
      </c>
      <c r="O66" s="1">
        <f t="shared" si="50"/>
        <v>0.82101494853424117</v>
      </c>
      <c r="P66" s="1">
        <f t="shared" si="51"/>
        <v>0.98023950999834253</v>
      </c>
      <c r="Q66" s="1">
        <f t="shared" si="11"/>
        <v>0.82101494853424117</v>
      </c>
    </row>
    <row r="67" spans="1:17" x14ac:dyDescent="0.25">
      <c r="A67">
        <f t="shared" si="2"/>
        <v>16.624999999999979</v>
      </c>
      <c r="B67">
        <f t="shared" ref="B67:B130" si="52">_xlfn.NORM.DIST(A67,23.135,2.105,0)</f>
        <v>1.5877227739526868E-3</v>
      </c>
      <c r="C67">
        <f t="shared" ref="C67:C130" si="53">_xlfn.NORM.DIST(A67,24.741,1.72,0)</f>
        <v>3.3927228749611697E-6</v>
      </c>
      <c r="H67">
        <f t="shared" si="45"/>
        <v>21.249999999999972</v>
      </c>
      <c r="I67" s="1">
        <f t="shared" si="46"/>
        <v>-0.89548693586699768</v>
      </c>
      <c r="J67" s="1">
        <f t="shared" si="47"/>
        <v>0.18526342316157596</v>
      </c>
      <c r="K67" s="1">
        <f t="shared" si="48"/>
        <v>-2.0296511627907141</v>
      </c>
      <c r="L67" s="1">
        <f t="shared" si="49"/>
        <v>0.97880399481084557</v>
      </c>
      <c r="O67" s="1">
        <f t="shared" si="50"/>
        <v>0.81473657683842404</v>
      </c>
      <c r="P67" s="1">
        <f t="shared" si="51"/>
        <v>0.97880399481084557</v>
      </c>
      <c r="Q67" s="1">
        <f t="shared" si="11"/>
        <v>0.81473657683842404</v>
      </c>
    </row>
    <row r="68" spans="1:17" x14ac:dyDescent="0.25">
      <c r="A68">
        <f t="shared" ref="A68:A131" si="54">A67+0.025</f>
        <v>16.649999999999977</v>
      </c>
      <c r="B68">
        <f t="shared" si="52"/>
        <v>1.6470073224774614E-3</v>
      </c>
      <c r="C68">
        <f t="shared" si="53"/>
        <v>3.6331917991792794E-6</v>
      </c>
      <c r="H68">
        <f t="shared" ref="H68:H83" si="55">H69-0.05</f>
        <v>21.299999999999972</v>
      </c>
      <c r="I68" s="1">
        <f t="shared" ref="I68:I104" si="56">($H68-I$4)/J$4</f>
        <v>-0.87173396674585713</v>
      </c>
      <c r="J68" s="1">
        <f t="shared" ref="J68:J104" si="57">_xlfn.NORM.DIST(I68,0,1,1)</f>
        <v>0.19167676277789159</v>
      </c>
      <c r="K68" s="1">
        <f t="shared" ref="K68:K104" si="58">($H68-K$4)/L$4</f>
        <v>-2.0005813953488532</v>
      </c>
      <c r="L68" s="1">
        <f t="shared" ref="L68:L104" si="59">1-_xlfn.NORM.DIST(K68,0,1,1)</f>
        <v>0.97728123990388005</v>
      </c>
      <c r="O68" s="1">
        <f t="shared" si="50"/>
        <v>0.80832323722210841</v>
      </c>
      <c r="P68" s="1">
        <f t="shared" si="51"/>
        <v>0.97728123990388005</v>
      </c>
      <c r="Q68" s="1">
        <f t="shared" si="11"/>
        <v>0.80832323722210841</v>
      </c>
    </row>
    <row r="69" spans="1:17" x14ac:dyDescent="0.25">
      <c r="A69">
        <f t="shared" si="54"/>
        <v>16.674999999999976</v>
      </c>
      <c r="B69">
        <f t="shared" si="52"/>
        <v>1.7082645487420743E-3</v>
      </c>
      <c r="C69">
        <f t="shared" si="53"/>
        <v>3.8898827707272953E-6</v>
      </c>
      <c r="H69">
        <f t="shared" si="55"/>
        <v>21.349999999999973</v>
      </c>
      <c r="I69" s="1">
        <f t="shared" si="56"/>
        <v>-0.84798099762471668</v>
      </c>
      <c r="J69" s="1">
        <f t="shared" si="57"/>
        <v>0.19822427675889825</v>
      </c>
      <c r="K69" s="1">
        <f t="shared" si="58"/>
        <v>-1.9715116279069922</v>
      </c>
      <c r="L69" s="1">
        <f t="shared" si="59"/>
        <v>0.97566730784516109</v>
      </c>
      <c r="O69" s="1">
        <f t="shared" si="50"/>
        <v>0.8017757232411018</v>
      </c>
      <c r="P69" s="1">
        <f t="shared" si="51"/>
        <v>0.97566730784516109</v>
      </c>
      <c r="Q69" s="1">
        <f t="shared" si="11"/>
        <v>0.8017757232411018</v>
      </c>
    </row>
    <row r="70" spans="1:17" x14ac:dyDescent="0.25">
      <c r="A70">
        <f t="shared" si="54"/>
        <v>16.699999999999974</v>
      </c>
      <c r="B70">
        <f t="shared" si="52"/>
        <v>1.7715502217560315E-3</v>
      </c>
      <c r="C70">
        <f t="shared" si="53"/>
        <v>4.1638296258531579E-6</v>
      </c>
      <c r="H70">
        <f t="shared" si="55"/>
        <v>21.399999999999974</v>
      </c>
      <c r="I70" s="1">
        <f t="shared" si="56"/>
        <v>-0.82422802850357624</v>
      </c>
      <c r="J70" s="1">
        <f t="shared" si="57"/>
        <v>0.204905002009968</v>
      </c>
      <c r="K70" s="1">
        <f t="shared" si="58"/>
        <v>-1.9424418604651315</v>
      </c>
      <c r="L70" s="1">
        <f t="shared" si="59"/>
        <v>0.97395818407694457</v>
      </c>
      <c r="O70" s="1">
        <f t="shared" si="50"/>
        <v>0.79509499799003203</v>
      </c>
      <c r="P70" s="1">
        <f t="shared" si="51"/>
        <v>0.97395818407694457</v>
      </c>
      <c r="Q70" s="1">
        <f t="shared" si="11"/>
        <v>0.79509499799003203</v>
      </c>
    </row>
    <row r="71" spans="1:17" x14ac:dyDescent="0.25">
      <c r="A71">
        <f t="shared" si="54"/>
        <v>16.724999999999973</v>
      </c>
      <c r="B71">
        <f t="shared" si="52"/>
        <v>1.8369213064906315E-3</v>
      </c>
      <c r="C71">
        <f t="shared" si="53"/>
        <v>4.4561278056260314E-6</v>
      </c>
      <c r="H71">
        <f t="shared" si="55"/>
        <v>21.449999999999974</v>
      </c>
      <c r="I71" s="1">
        <f t="shared" si="56"/>
        <v>-0.80047505938243568</v>
      </c>
      <c r="J71" s="1">
        <f t="shared" si="57"/>
        <v>0.21171780404630738</v>
      </c>
      <c r="K71" s="1">
        <f t="shared" si="58"/>
        <v>-1.9133720930232705</v>
      </c>
      <c r="L71" s="1">
        <f t="shared" si="59"/>
        <v>0.97214978280462228</v>
      </c>
      <c r="O71" s="1">
        <f t="shared" si="50"/>
        <v>0.78828219595369264</v>
      </c>
      <c r="P71" s="1">
        <f t="shared" si="51"/>
        <v>0.97214978280462228</v>
      </c>
      <c r="Q71" s="1">
        <f t="shared" ref="Q71:Q134" si="60">O71</f>
        <v>0.78828219595369264</v>
      </c>
    </row>
    <row r="72" spans="1:17" x14ac:dyDescent="0.25">
      <c r="A72">
        <f t="shared" si="54"/>
        <v>16.749999999999972</v>
      </c>
      <c r="B72">
        <f t="shared" si="52"/>
        <v>1.9044359754552868E-3</v>
      </c>
      <c r="C72">
        <f t="shared" si="53"/>
        <v>4.7679377363926398E-6</v>
      </c>
      <c r="H72">
        <f t="shared" si="55"/>
        <v>21.499999999999975</v>
      </c>
      <c r="I72" s="1">
        <f t="shared" si="56"/>
        <v>-0.77672209026129524</v>
      </c>
      <c r="J72" s="1">
        <f t="shared" si="57"/>
        <v>0.21866137549448564</v>
      </c>
      <c r="K72" s="1">
        <f t="shared" si="58"/>
        <v>-1.8843023255814095</v>
      </c>
      <c r="L72" s="1">
        <f t="shared" si="59"/>
        <v>0.97023795348018471</v>
      </c>
      <c r="O72" s="1">
        <f t="shared" si="50"/>
        <v>0.78133862450551439</v>
      </c>
      <c r="P72" s="1">
        <f t="shared" si="51"/>
        <v>0.97023795348018471</v>
      </c>
      <c r="Q72" s="1">
        <f t="shared" si="60"/>
        <v>0.78133862450551439</v>
      </c>
    </row>
    <row r="73" spans="1:17" x14ac:dyDescent="0.25">
      <c r="A73">
        <f t="shared" si="54"/>
        <v>16.77499999999997</v>
      </c>
      <c r="B73">
        <f t="shared" si="52"/>
        <v>1.9741536198346716E-3</v>
      </c>
      <c r="C73">
        <f t="shared" si="53"/>
        <v>5.1004883768829436E-6</v>
      </c>
      <c r="H73">
        <f t="shared" si="55"/>
        <v>21.549999999999976</v>
      </c>
      <c r="I73" s="1">
        <f t="shared" si="56"/>
        <v>-0.7529691211401548</v>
      </c>
      <c r="J73" s="1">
        <f t="shared" si="57"/>
        <v>0.22573423495818104</v>
      </c>
      <c r="K73" s="1">
        <f t="shared" si="58"/>
        <v>-1.8552325581395488</v>
      </c>
      <c r="L73" s="1">
        <f t="shared" si="59"/>
        <v>0.96821848788719511</v>
      </c>
      <c r="O73" s="1">
        <f t="shared" si="50"/>
        <v>0.77426576504181899</v>
      </c>
      <c r="P73" s="1">
        <f t="shared" si="51"/>
        <v>0.96821848788719511</v>
      </c>
      <c r="Q73" s="1">
        <f t="shared" si="60"/>
        <v>0.77426576504181899</v>
      </c>
    </row>
    <row r="74" spans="1:17" x14ac:dyDescent="0.25">
      <c r="A74">
        <f t="shared" si="54"/>
        <v>16.799999999999969</v>
      </c>
      <c r="B74">
        <f t="shared" si="52"/>
        <v>2.0461348601609093E-3</v>
      </c>
      <c r="C74">
        <f t="shared" si="53"/>
        <v>5.4550809390116857E-6</v>
      </c>
      <c r="H74">
        <f t="shared" si="55"/>
        <v>21.599999999999977</v>
      </c>
      <c r="I74" s="1">
        <f t="shared" si="56"/>
        <v>-0.72921615201901424</v>
      </c>
      <c r="J74" s="1">
        <f t="shared" si="57"/>
        <v>0.23293472625846606</v>
      </c>
      <c r="K74" s="1">
        <f t="shared" si="58"/>
        <v>-1.8261627906976878</v>
      </c>
      <c r="L74" s="1">
        <f t="shared" si="59"/>
        <v>0.96608712783116912</v>
      </c>
      <c r="O74" s="1">
        <f t="shared" si="50"/>
        <v>0.76706527374153399</v>
      </c>
      <c r="P74" s="1">
        <f t="shared" si="51"/>
        <v>0.96608712783116912</v>
      </c>
      <c r="Q74" s="1">
        <f t="shared" si="60"/>
        <v>0.76706527374153399</v>
      </c>
    </row>
    <row r="75" spans="1:17" x14ac:dyDescent="0.25">
      <c r="A75">
        <f t="shared" si="54"/>
        <v>16.824999999999967</v>
      </c>
      <c r="B75">
        <f t="shared" si="52"/>
        <v>2.1204415564945074E-3</v>
      </c>
      <c r="C75">
        <f t="shared" si="53"/>
        <v>5.8330927896500267E-6</v>
      </c>
      <c r="H75">
        <f t="shared" si="55"/>
        <v>21.649999999999977</v>
      </c>
      <c r="I75" s="1">
        <f t="shared" si="56"/>
        <v>-0.7054631828978738</v>
      </c>
      <c r="J75" s="1">
        <f t="shared" si="57"/>
        <v>0.24026101805787503</v>
      </c>
      <c r="K75" s="1">
        <f t="shared" si="58"/>
        <v>-1.7970930232558271</v>
      </c>
      <c r="L75" s="1">
        <f t="shared" si="59"/>
        <v>0.96383957343632287</v>
      </c>
      <c r="O75" s="1">
        <f t="shared" si="50"/>
        <v>0.75973898194212497</v>
      </c>
      <c r="P75" s="1">
        <f t="shared" si="51"/>
        <v>0.96383957343632287</v>
      </c>
      <c r="Q75" s="1">
        <f t="shared" si="60"/>
        <v>0.75973898194212497</v>
      </c>
    </row>
    <row r="76" spans="1:17" x14ac:dyDescent="0.25">
      <c r="A76">
        <f t="shared" si="54"/>
        <v>16.849999999999966</v>
      </c>
      <c r="B76">
        <f t="shared" si="52"/>
        <v>2.1971368180872981E-3</v>
      </c>
      <c r="C76">
        <f t="shared" si="53"/>
        <v>6.2359815408727544E-6</v>
      </c>
      <c r="H76">
        <f t="shared" si="55"/>
        <v>21.699999999999978</v>
      </c>
      <c r="I76" s="1">
        <f t="shared" si="56"/>
        <v>-0.68171021377673335</v>
      </c>
      <c r="J76" s="1">
        <f t="shared" si="57"/>
        <v>0.24771110387635809</v>
      </c>
      <c r="K76" s="1">
        <f t="shared" si="58"/>
        <v>-1.7680232558139661</v>
      </c>
      <c r="L76" s="1">
        <f t="shared" si="59"/>
        <v>0.96147149204655102</v>
      </c>
      <c r="O76" s="1">
        <f t="shared" si="50"/>
        <v>0.75228889612364191</v>
      </c>
      <c r="P76" s="1">
        <f t="shared" si="51"/>
        <v>0.96147149204655102</v>
      </c>
      <c r="Q76" s="1">
        <f t="shared" si="60"/>
        <v>0.75228889612364191</v>
      </c>
    </row>
    <row r="77" spans="1:17" x14ac:dyDescent="0.25">
      <c r="A77">
        <f t="shared" si="54"/>
        <v>16.874999999999964</v>
      </c>
      <c r="B77">
        <f t="shared" si="52"/>
        <v>2.276285012500147E-3</v>
      </c>
      <c r="C77">
        <f t="shared" si="53"/>
        <v>6.6652893364213242E-6</v>
      </c>
      <c r="H77">
        <f t="shared" si="55"/>
        <v>21.749999999999979</v>
      </c>
      <c r="I77" s="1">
        <f t="shared" si="56"/>
        <v>-0.6579572446555928</v>
      </c>
      <c r="J77" s="1">
        <f t="shared" si="57"/>
        <v>0.25528280250603175</v>
      </c>
      <c r="K77" s="1">
        <f t="shared" si="58"/>
        <v>-1.7389534883721052</v>
      </c>
      <c r="L77" s="1">
        <f t="shared" si="59"/>
        <v>0.95897852772523129</v>
      </c>
      <c r="O77" s="1">
        <f t="shared" si="50"/>
        <v>0.74471719749396825</v>
      </c>
      <c r="P77" s="1">
        <f t="shared" si="51"/>
        <v>0.95897852772523129</v>
      </c>
      <c r="Q77" s="1">
        <f t="shared" si="60"/>
        <v>0.74471719749396825</v>
      </c>
    </row>
    <row r="78" spans="1:17" x14ac:dyDescent="0.25">
      <c r="A78">
        <f t="shared" si="54"/>
        <v>16.899999999999963</v>
      </c>
      <c r="B78">
        <f t="shared" si="52"/>
        <v>2.3579517741478145E-3</v>
      </c>
      <c r="C78">
        <f t="shared" si="53"/>
        <v>7.1226473423597029E-6</v>
      </c>
      <c r="H78">
        <f t="shared" si="55"/>
        <v>21.799999999999979</v>
      </c>
      <c r="I78" s="1">
        <f t="shared" si="56"/>
        <v>-0.63420427553445236</v>
      </c>
      <c r="J78" s="1">
        <f t="shared" si="57"/>
        <v>0.26297375883040019</v>
      </c>
      <c r="K78" s="1">
        <f t="shared" si="58"/>
        <v>-1.7098837209302444</v>
      </c>
      <c r="L78" s="1">
        <f t="shared" si="59"/>
        <v>0.95635631134504417</v>
      </c>
      <c r="O78" s="1">
        <f t="shared" si="50"/>
        <v>0.73702624116959981</v>
      </c>
      <c r="P78" s="1">
        <f t="shared" si="51"/>
        <v>0.95635631134504417</v>
      </c>
      <c r="Q78" s="1">
        <f t="shared" si="60"/>
        <v>0.73702624116959981</v>
      </c>
    </row>
    <row r="79" spans="1:17" x14ac:dyDescent="0.25">
      <c r="A79">
        <f t="shared" si="54"/>
        <v>16.924999999999962</v>
      </c>
      <c r="B79">
        <f t="shared" si="52"/>
        <v>2.442204012242872E-3</v>
      </c>
      <c r="C79">
        <f t="shared" si="53"/>
        <v>7.6097804501395423E-6</v>
      </c>
      <c r="H79">
        <f t="shared" si="55"/>
        <v>21.84999999999998</v>
      </c>
      <c r="I79" s="1">
        <f t="shared" si="56"/>
        <v>-0.61045130641331191</v>
      </c>
      <c r="J79" s="1">
        <f t="shared" si="57"/>
        <v>0.27078144505243373</v>
      </c>
      <c r="K79" s="1">
        <f t="shared" si="58"/>
        <v>-1.6808139534883835</v>
      </c>
      <c r="L79" s="1">
        <f t="shared" si="59"/>
        <v>0.95360047125545455</v>
      </c>
      <c r="O79" s="1">
        <f t="shared" si="50"/>
        <v>0.72921855494756627</v>
      </c>
      <c r="P79" s="1">
        <f t="shared" si="51"/>
        <v>0.95360047125545455</v>
      </c>
      <c r="Q79" s="1">
        <f t="shared" si="60"/>
        <v>0.72921855494756627</v>
      </c>
    </row>
    <row r="80" spans="1:17" x14ac:dyDescent="0.25">
      <c r="A80">
        <f t="shared" si="54"/>
        <v>16.94999999999996</v>
      </c>
      <c r="B80">
        <f t="shared" si="52"/>
        <v>2.5291099181101568E-3</v>
      </c>
      <c r="C80">
        <f t="shared" si="53"/>
        <v>8.1285122005335253E-6</v>
      </c>
      <c r="H80">
        <f t="shared" si="55"/>
        <v>21.899999999999981</v>
      </c>
      <c r="I80" s="1">
        <f t="shared" si="56"/>
        <v>-0.58669833729217136</v>
      </c>
      <c r="J80" s="1">
        <f t="shared" si="57"/>
        <v>0.27870316233457026</v>
      </c>
      <c r="K80" s="1">
        <f t="shared" si="58"/>
        <v>-1.6517441860465225</v>
      </c>
      <c r="L80" s="1">
        <f t="shared" si="59"/>
        <v>0.95070664451185039</v>
      </c>
      <c r="O80" s="1">
        <f t="shared" si="50"/>
        <v>0.72129683766542974</v>
      </c>
      <c r="P80" s="1">
        <f t="shared" si="51"/>
        <v>0.95070664451185039</v>
      </c>
      <c r="Q80" s="1">
        <f t="shared" si="60"/>
        <v>0.72129683766542974</v>
      </c>
    </row>
    <row r="81" spans="1:17" x14ac:dyDescent="0.25">
      <c r="A81">
        <f t="shared" si="54"/>
        <v>16.974999999999959</v>
      </c>
      <c r="B81">
        <f t="shared" si="52"/>
        <v>2.6187389718429406E-3</v>
      </c>
      <c r="C81">
        <f t="shared" si="53"/>
        <v>8.6807699371383286E-6</v>
      </c>
      <c r="H81">
        <f t="shared" si="55"/>
        <v>21.949999999999982</v>
      </c>
      <c r="I81" s="1">
        <f t="shared" si="56"/>
        <v>-0.56294536817103091</v>
      </c>
      <c r="J81" s="1">
        <f t="shared" si="57"/>
        <v>0.28673604285234888</v>
      </c>
      <c r="K81" s="1">
        <f t="shared" si="58"/>
        <v>-1.6226744186046618</v>
      </c>
      <c r="L81" s="1">
        <f t="shared" si="59"/>
        <v>0.94767048864658399</v>
      </c>
      <c r="O81" s="1">
        <f t="shared" si="50"/>
        <v>0.71326395714765112</v>
      </c>
      <c r="P81" s="1">
        <f t="shared" si="51"/>
        <v>0.94767048864658399</v>
      </c>
      <c r="Q81" s="1">
        <f t="shared" si="60"/>
        <v>0.71326395714765112</v>
      </c>
    </row>
    <row r="82" spans="1:17" x14ac:dyDescent="0.25">
      <c r="A82">
        <f t="shared" si="54"/>
        <v>16.999999999999957</v>
      </c>
      <c r="B82">
        <f t="shared" si="52"/>
        <v>2.7111619482715261E-3</v>
      </c>
      <c r="C82">
        <f t="shared" si="53"/>
        <v>9.2685901983952272E-6</v>
      </c>
      <c r="H82">
        <f t="shared" si="55"/>
        <v>21.999999999999982</v>
      </c>
      <c r="I82" s="1">
        <f t="shared" si="56"/>
        <v>-0.53919239904989047</v>
      </c>
      <c r="J82" s="1">
        <f t="shared" si="57"/>
        <v>0.29487705226199973</v>
      </c>
      <c r="K82" s="1">
        <f t="shared" si="58"/>
        <v>-1.5936046511628008</v>
      </c>
      <c r="L82" s="1">
        <f t="shared" si="59"/>
        <v>0.94448769395834142</v>
      </c>
      <c r="O82" s="1">
        <f t="shared" si="50"/>
        <v>0.70512294773800033</v>
      </c>
      <c r="P82" s="1">
        <f t="shared" si="51"/>
        <v>0.94448769395834142</v>
      </c>
      <c r="Q82" s="1">
        <f t="shared" si="60"/>
        <v>0.70512294773800033</v>
      </c>
    </row>
    <row r="83" spans="1:17" x14ac:dyDescent="0.25">
      <c r="A83">
        <f t="shared" si="54"/>
        <v>17.024999999999956</v>
      </c>
      <c r="B83">
        <f t="shared" si="52"/>
        <v>2.8064509222146504E-3</v>
      </c>
      <c r="C83">
        <f t="shared" si="53"/>
        <v>9.8941243573212991E-6</v>
      </c>
      <c r="H83">
        <f t="shared" si="55"/>
        <v>22.049999999999983</v>
      </c>
      <c r="I83" s="1">
        <f t="shared" si="56"/>
        <v>-0.51543942992874991</v>
      </c>
      <c r="J83" s="1">
        <f t="shared" si="57"/>
        <v>0.30312299258091002</v>
      </c>
      <c r="K83" s="1">
        <f t="shared" si="58"/>
        <v>-1.5645348837209401</v>
      </c>
      <c r="L83" s="1">
        <f t="shared" si="59"/>
        <v>0.94115399629239649</v>
      </c>
      <c r="O83" s="1">
        <f t="shared" si="50"/>
        <v>0.69687700741908998</v>
      </c>
      <c r="P83" s="1">
        <f t="shared" si="51"/>
        <v>0.94115399629239649</v>
      </c>
      <c r="Q83" s="1">
        <f t="shared" si="60"/>
        <v>0.69687700741908998</v>
      </c>
    </row>
    <row r="84" spans="1:17" x14ac:dyDescent="0.25">
      <c r="A84">
        <f t="shared" si="54"/>
        <v>17.049999999999955</v>
      </c>
      <c r="B84">
        <f t="shared" si="52"/>
        <v>2.9046792729838086E-3</v>
      </c>
      <c r="C84">
        <f t="shared" si="53"/>
        <v>1.0559644518392288E-5</v>
      </c>
      <c r="H84">
        <f t="shared" ref="H84:H103" si="61">H85-0.05</f>
        <v>22.099999999999984</v>
      </c>
      <c r="I84" s="1">
        <f t="shared" si="56"/>
        <v>-0.49168646080760947</v>
      </c>
      <c r="J84" s="1">
        <f t="shared" si="57"/>
        <v>0.31147050547846311</v>
      </c>
      <c r="K84" s="1">
        <f t="shared" si="58"/>
        <v>-1.5354651162790791</v>
      </c>
      <c r="L84" s="1">
        <f t="shared" si="59"/>
        <v>0.93766519028040851</v>
      </c>
      <c r="O84" s="1">
        <f t="shared" si="50"/>
        <v>0.68852949452153689</v>
      </c>
      <c r="P84" s="1">
        <f t="shared" si="51"/>
        <v>0.93766519028040851</v>
      </c>
      <c r="Q84" s="1">
        <f t="shared" si="60"/>
        <v>0.68852949452153689</v>
      </c>
    </row>
    <row r="85" spans="1:17" x14ac:dyDescent="0.25">
      <c r="A85">
        <f t="shared" si="54"/>
        <v>17.074999999999953</v>
      </c>
      <c r="B85">
        <f t="shared" si="52"/>
        <v>3.0059216881102011E-3</v>
      </c>
      <c r="C85">
        <f t="shared" si="53"/>
        <v>1.1267549681264348E-5</v>
      </c>
      <c r="H85">
        <f t="shared" si="61"/>
        <v>22.149999999999984</v>
      </c>
      <c r="I85" s="1">
        <f t="shared" si="56"/>
        <v>-0.46793349168646897</v>
      </c>
      <c r="J85" s="1">
        <f t="shared" si="57"/>
        <v>0.31991607597331762</v>
      </c>
      <c r="K85" s="1">
        <f t="shared" si="58"/>
        <v>-1.5063953488372182</v>
      </c>
      <c r="L85" s="1">
        <f t="shared" si="59"/>
        <v>0.93401714300452465</v>
      </c>
      <c r="O85" s="1">
        <f t="shared" si="50"/>
        <v>0.68008392402668238</v>
      </c>
      <c r="P85" s="1">
        <f t="shared" si="51"/>
        <v>0.93401714300452465</v>
      </c>
      <c r="Q85" s="1">
        <f t="shared" si="60"/>
        <v>0.68008392402668238</v>
      </c>
    </row>
    <row r="86" spans="1:17" x14ac:dyDescent="0.25">
      <c r="A86">
        <f t="shared" si="54"/>
        <v>17.099999999999952</v>
      </c>
      <c r="B86">
        <f t="shared" si="52"/>
        <v>3.110254166263805E-3</v>
      </c>
      <c r="C86">
        <f t="shared" si="53"/>
        <v>1.2020372181270381E-5</v>
      </c>
      <c r="H86">
        <f t="shared" si="61"/>
        <v>22.199999999999985</v>
      </c>
      <c r="I86" s="1">
        <f t="shared" si="56"/>
        <v>-0.44418052256532847</v>
      </c>
      <c r="J86" s="1">
        <f t="shared" si="57"/>
        <v>0.32845603653175631</v>
      </c>
      <c r="K86" s="1">
        <f t="shared" si="58"/>
        <v>-1.4773255813953574</v>
      </c>
      <c r="L86" s="1">
        <f t="shared" si="59"/>
        <v>0.93020580804668207</v>
      </c>
      <c r="O86" s="1">
        <f t="shared" si="50"/>
        <v>0.67154396346824363</v>
      </c>
      <c r="P86" s="1">
        <f t="shared" si="51"/>
        <v>0.93020580804668207</v>
      </c>
      <c r="Q86" s="1">
        <f t="shared" si="60"/>
        <v>0.67154396346824363</v>
      </c>
    </row>
    <row r="87" spans="1:17" x14ac:dyDescent="0.25">
      <c r="A87">
        <f t="shared" si="54"/>
        <v>17.12499999999995</v>
      </c>
      <c r="B87">
        <f t="shared" si="52"/>
        <v>3.2177540193337882E-3</v>
      </c>
      <c r="C87">
        <f t="shared" si="53"/>
        <v>1.2820784416872277E-5</v>
      </c>
      <c r="H87">
        <f t="shared" si="61"/>
        <v>22.249999999999986</v>
      </c>
      <c r="I87" s="1">
        <f t="shared" si="56"/>
        <v>-0.42042755344418803</v>
      </c>
      <c r="J87" s="1">
        <f t="shared" si="57"/>
        <v>0.33708657156030752</v>
      </c>
      <c r="K87" s="1">
        <f t="shared" si="58"/>
        <v>-1.4482558139534965</v>
      </c>
      <c r="L87" s="1">
        <f t="shared" si="59"/>
        <v>0.92622723988018618</v>
      </c>
      <c r="O87" s="1">
        <f t="shared" si="50"/>
        <v>0.66291342843969248</v>
      </c>
      <c r="P87" s="1">
        <f t="shared" si="51"/>
        <v>0.92622723988018618</v>
      </c>
      <c r="Q87" s="1">
        <f t="shared" si="60"/>
        <v>0.66291342843969248</v>
      </c>
    </row>
    <row r="88" spans="1:17" x14ac:dyDescent="0.25">
      <c r="A88">
        <f t="shared" si="54"/>
        <v>17.149999999999949</v>
      </c>
      <c r="B88">
        <f t="shared" si="52"/>
        <v>3.3284998736392269E-3</v>
      </c>
      <c r="C88">
        <f t="shared" si="53"/>
        <v>1.3671605874495516E-5</v>
      </c>
      <c r="H88">
        <f t="shared" si="61"/>
        <v>22.299999999999986</v>
      </c>
      <c r="I88" s="1">
        <f t="shared" si="56"/>
        <v>-0.39667458432304753</v>
      </c>
      <c r="J88" s="1">
        <f t="shared" si="57"/>
        <v>0.34580372228441597</v>
      </c>
      <c r="K88" s="1">
        <f t="shared" si="58"/>
        <v>-1.4191860465116355</v>
      </c>
      <c r="L88" s="1">
        <f t="shared" si="59"/>
        <v>0.92207760855691157</v>
      </c>
      <c r="O88" s="1">
        <f t="shared" si="50"/>
        <v>0.65419627771558408</v>
      </c>
      <c r="P88" s="1">
        <f t="shared" si="51"/>
        <v>0.92207760855691157</v>
      </c>
      <c r="Q88" s="1">
        <f t="shared" si="60"/>
        <v>0.65419627771558408</v>
      </c>
    </row>
    <row r="89" spans="1:17" x14ac:dyDescent="0.25">
      <c r="A89">
        <f t="shared" si="54"/>
        <v>17.174999999999947</v>
      </c>
      <c r="B89">
        <f t="shared" si="52"/>
        <v>3.4425716702388828E-3</v>
      </c>
      <c r="C89">
        <f t="shared" si="53"/>
        <v>1.4575810461417079E-5</v>
      </c>
      <c r="H89">
        <f t="shared" si="61"/>
        <v>22.349999999999987</v>
      </c>
      <c r="I89" s="1">
        <f t="shared" si="56"/>
        <v>-0.37292161520190709</v>
      </c>
      <c r="J89" s="1">
        <f t="shared" si="57"/>
        <v>0.35460339200353758</v>
      </c>
      <c r="K89" s="1">
        <f t="shared" si="58"/>
        <v>-1.3901162790697748</v>
      </c>
      <c r="L89" s="1">
        <f t="shared" si="59"/>
        <v>0.91775321463985593</v>
      </c>
      <c r="O89" s="1">
        <f t="shared" si="50"/>
        <v>0.64539660799646237</v>
      </c>
      <c r="P89" s="1">
        <f t="shared" si="51"/>
        <v>0.91775321463985593</v>
      </c>
      <c r="Q89" s="1">
        <f t="shared" si="60"/>
        <v>0.64539660799646237</v>
      </c>
    </row>
    <row r="90" spans="1:17" x14ac:dyDescent="0.25">
      <c r="A90">
        <f t="shared" si="54"/>
        <v>17.199999999999946</v>
      </c>
      <c r="B90">
        <f t="shared" si="52"/>
        <v>3.5600506643087143E-3</v>
      </c>
      <c r="C90">
        <f t="shared" si="53"/>
        <v>1.5536534157617282E-5</v>
      </c>
      <c r="H90">
        <f t="shared" si="61"/>
        <v>22.399999999999988</v>
      </c>
      <c r="I90" s="1">
        <f t="shared" si="56"/>
        <v>-0.34916864608076659</v>
      </c>
      <c r="J90" s="1">
        <f t="shared" si="57"/>
        <v>0.36348135171165008</v>
      </c>
      <c r="K90" s="1">
        <f t="shared" si="58"/>
        <v>-1.3610465116279138</v>
      </c>
      <c r="L90" s="1">
        <f t="shared" si="59"/>
        <v>0.91325050432729826</v>
      </c>
      <c r="O90" s="1">
        <f t="shared" si="50"/>
        <v>0.63651864828834992</v>
      </c>
      <c r="P90" s="1">
        <f t="shared" si="51"/>
        <v>0.91325050432729826</v>
      </c>
      <c r="Q90" s="1">
        <f t="shared" si="60"/>
        <v>0.63651864828834992</v>
      </c>
    </row>
    <row r="91" spans="1:17" x14ac:dyDescent="0.25">
      <c r="A91">
        <f t="shared" si="54"/>
        <v>17.224999999999945</v>
      </c>
      <c r="B91">
        <f t="shared" si="52"/>
        <v>3.6810194235554696E-3</v>
      </c>
      <c r="C91">
        <f t="shared" si="53"/>
        <v>1.6557082997746084E-5</v>
      </c>
      <c r="H91">
        <f t="shared" si="61"/>
        <v>22.449999999999989</v>
      </c>
      <c r="I91" s="1">
        <f t="shared" si="56"/>
        <v>-0.32541567695962609</v>
      </c>
      <c r="J91" s="1">
        <f t="shared" si="57"/>
        <v>0.37243324607081651</v>
      </c>
      <c r="K91" s="1">
        <f t="shared" si="58"/>
        <v>-1.3319767441860531</v>
      </c>
      <c r="L91" s="1">
        <f t="shared" si="59"/>
        <v>0.90856608471151745</v>
      </c>
      <c r="O91" s="1">
        <f t="shared" si="50"/>
        <v>0.62756675392918349</v>
      </c>
      <c r="P91" s="1">
        <f t="shared" si="51"/>
        <v>0.90856608471151745</v>
      </c>
      <c r="Q91" s="1">
        <f t="shared" si="60"/>
        <v>0.62756675392918349</v>
      </c>
    </row>
    <row r="92" spans="1:17" x14ac:dyDescent="0.25">
      <c r="A92">
        <f t="shared" si="54"/>
        <v>17.249999999999943</v>
      </c>
      <c r="B92">
        <f t="shared" si="52"/>
        <v>3.8055618256347752E-3</v>
      </c>
      <c r="C92">
        <f t="shared" si="53"/>
        <v>1.7640941394587433E-5</v>
      </c>
      <c r="H92">
        <f t="shared" si="61"/>
        <v>22.499999999999989</v>
      </c>
      <c r="I92" s="1">
        <f t="shared" si="56"/>
        <v>-0.30166270783848564</v>
      </c>
      <c r="J92" s="1">
        <f t="shared" si="57"/>
        <v>0.38145459972412576</v>
      </c>
      <c r="K92" s="1">
        <f t="shared" si="58"/>
        <v>-1.3029069767441921</v>
      </c>
      <c r="L92" s="1">
        <f t="shared" si="59"/>
        <v>0.90369673911192272</v>
      </c>
      <c r="O92" s="1">
        <f t="shared" si="50"/>
        <v>0.61854540027587424</v>
      </c>
      <c r="P92" s="1">
        <f t="shared" si="51"/>
        <v>0.90369673911192272</v>
      </c>
      <c r="Q92" s="1">
        <f t="shared" si="60"/>
        <v>0.61854540027587424</v>
      </c>
    </row>
    <row r="93" spans="1:17" x14ac:dyDescent="0.25">
      <c r="A93">
        <f t="shared" si="54"/>
        <v>17.274999999999942</v>
      </c>
      <c r="B93">
        <f t="shared" si="52"/>
        <v>3.9337630545419316E-3</v>
      </c>
      <c r="C93">
        <f t="shared" si="53"/>
        <v>1.8791780815636113E-5</v>
      </c>
      <c r="H93">
        <f t="shared" si="61"/>
        <v>22.54999999999999</v>
      </c>
      <c r="I93" s="1">
        <f t="shared" si="56"/>
        <v>-0.27790973871734514</v>
      </c>
      <c r="J93" s="1">
        <f t="shared" si="57"/>
        <v>0.39054082393305362</v>
      </c>
      <c r="K93" s="1">
        <f t="shared" si="58"/>
        <v>-1.2738372093023311</v>
      </c>
      <c r="L93" s="1">
        <f t="shared" si="59"/>
        <v>0.89863944241959171</v>
      </c>
      <c r="O93" s="1">
        <f t="shared" si="50"/>
        <v>0.60945917606694633</v>
      </c>
      <c r="P93" s="1">
        <f t="shared" si="51"/>
        <v>0.89863944241959171</v>
      </c>
      <c r="Q93" s="1">
        <f t="shared" si="60"/>
        <v>0.60945917606694633</v>
      </c>
    </row>
    <row r="94" spans="1:17" x14ac:dyDescent="0.25">
      <c r="A94">
        <f t="shared" si="54"/>
        <v>17.29999999999994</v>
      </c>
      <c r="B94">
        <f t="shared" si="52"/>
        <v>4.0657095959436328E-3</v>
      </c>
      <c r="C94">
        <f t="shared" si="53"/>
        <v>2.0013468824626866E-5</v>
      </c>
      <c r="H94">
        <f t="shared" si="61"/>
        <v>22.599999999999991</v>
      </c>
      <c r="I94" s="1">
        <f t="shared" si="56"/>
        <v>-0.25415676959620465</v>
      </c>
      <c r="J94" s="1">
        <f t="shared" si="57"/>
        <v>0.39968722352306796</v>
      </c>
      <c r="K94" s="1">
        <f t="shared" si="58"/>
        <v>-1.2447674418604704</v>
      </c>
      <c r="L94" s="1">
        <f t="shared" si="59"/>
        <v>0.89339137638760535</v>
      </c>
      <c r="O94" s="1">
        <f t="shared" si="50"/>
        <v>0.60031277647693204</v>
      </c>
      <c r="P94" s="1">
        <f t="shared" si="51"/>
        <v>0.89339137638760535</v>
      </c>
      <c r="Q94" s="1">
        <f t="shared" si="60"/>
        <v>0.60031277647693204</v>
      </c>
    </row>
    <row r="95" spans="1:17" x14ac:dyDescent="0.25">
      <c r="A95">
        <f t="shared" si="54"/>
        <v>17.324999999999939</v>
      </c>
      <c r="B95">
        <f t="shared" si="52"/>
        <v>4.2014892314187861E-3</v>
      </c>
      <c r="C95">
        <f t="shared" si="53"/>
        <v>2.1310078500073559E-5</v>
      </c>
      <c r="H95">
        <f t="shared" si="61"/>
        <v>22.649999999999991</v>
      </c>
      <c r="I95" s="1">
        <f t="shared" si="56"/>
        <v>-0.23040380047506417</v>
      </c>
      <c r="J95" s="1">
        <f t="shared" si="57"/>
        <v>0.40888900412012319</v>
      </c>
      <c r="K95" s="1">
        <f t="shared" si="58"/>
        <v>-1.2156976744186094</v>
      </c>
      <c r="L95" s="1">
        <f t="shared" si="59"/>
        <v>0.88794994479926115</v>
      </c>
      <c r="O95" s="1">
        <f t="shared" si="50"/>
        <v>0.59111099587987681</v>
      </c>
      <c r="P95" s="1">
        <f t="shared" si="51"/>
        <v>0.88794994479926115</v>
      </c>
      <c r="Q95" s="1">
        <f t="shared" si="60"/>
        <v>0.59111099587987681</v>
      </c>
    </row>
    <row r="96" spans="1:17" x14ac:dyDescent="0.25">
      <c r="A96">
        <f t="shared" si="54"/>
        <v>17.349999999999937</v>
      </c>
      <c r="B96">
        <f t="shared" si="52"/>
        <v>4.3411910315766496E-3</v>
      </c>
      <c r="C96">
        <f t="shared" si="53"/>
        <v>2.2685898243090321E-5</v>
      </c>
      <c r="H96">
        <f t="shared" si="61"/>
        <v>22.699999999999992</v>
      </c>
      <c r="I96" s="1">
        <f t="shared" si="56"/>
        <v>-0.2066508313539237</v>
      </c>
      <c r="J96" s="1">
        <f t="shared" si="57"/>
        <v>0.41814127965958081</v>
      </c>
      <c r="K96" s="1">
        <f t="shared" si="58"/>
        <v>-1.1866279069767485</v>
      </c>
      <c r="L96" s="1">
        <f t="shared" si="59"/>
        <v>0.88231278844425964</v>
      </c>
      <c r="O96" s="1">
        <f t="shared" si="50"/>
        <v>0.58185872034041919</v>
      </c>
      <c r="P96" s="1">
        <f t="shared" si="51"/>
        <v>0.88231278844425964</v>
      </c>
      <c r="Q96" s="1">
        <f t="shared" si="60"/>
        <v>0.58185872034041919</v>
      </c>
    </row>
    <row r="97" spans="1:22" x14ac:dyDescent="0.25">
      <c r="A97">
        <f t="shared" si="54"/>
        <v>17.374999999999936</v>
      </c>
      <c r="B97">
        <f t="shared" si="52"/>
        <v>4.4849053480205629E-3</v>
      </c>
      <c r="C97">
        <f t="shared" si="53"/>
        <v>2.4145441986970661E-5</v>
      </c>
      <c r="H97">
        <f t="shared" si="61"/>
        <v>22.749999999999993</v>
      </c>
      <c r="I97" s="1">
        <f t="shared" si="56"/>
        <v>-0.1828978622327832</v>
      </c>
      <c r="J97" s="1">
        <f t="shared" si="57"/>
        <v>0.42743908014804438</v>
      </c>
      <c r="K97" s="1">
        <f t="shared" si="58"/>
        <v>-1.1575581395348877</v>
      </c>
      <c r="L97" s="1">
        <f t="shared" si="59"/>
        <v>0.87647779983130858</v>
      </c>
      <c r="O97" s="1">
        <f t="shared" si="50"/>
        <v>0.57256091985195567</v>
      </c>
      <c r="P97" s="1">
        <f t="shared" si="51"/>
        <v>0.87647779983130858</v>
      </c>
      <c r="Q97" s="1">
        <f t="shared" si="60"/>
        <v>0.57256091985195567</v>
      </c>
      <c r="T97" s="2" t="s">
        <v>22</v>
      </c>
      <c r="U97" s="2"/>
      <c r="V97" s="2"/>
    </row>
    <row r="98" spans="1:22" x14ac:dyDescent="0.25">
      <c r="A98">
        <f t="shared" si="54"/>
        <v>17.399999999999935</v>
      </c>
      <c r="B98">
        <f t="shared" si="52"/>
        <v>4.6327238041255787E-3</v>
      </c>
      <c r="C98">
        <f t="shared" si="53"/>
        <v>2.5693459821196306E-5</v>
      </c>
      <c r="H98">
        <f t="shared" si="61"/>
        <v>22.799999999999994</v>
      </c>
      <c r="I98" s="1">
        <f t="shared" si="56"/>
        <v>-0.15914489311164273</v>
      </c>
      <c r="J98" s="1">
        <f t="shared" si="57"/>
        <v>0.43677735965762104</v>
      </c>
      <c r="K98" s="1">
        <f t="shared" si="58"/>
        <v>-1.1284883720930268</v>
      </c>
      <c r="L98" s="1">
        <f t="shared" si="59"/>
        <v>0.8704431375643189</v>
      </c>
      <c r="O98" s="1">
        <f t="shared" si="50"/>
        <v>0.56322264034237901</v>
      </c>
      <c r="P98" s="1">
        <f t="shared" si="51"/>
        <v>0.8704431375643189</v>
      </c>
      <c r="Q98" s="1">
        <f t="shared" si="60"/>
        <v>0.56322264034237901</v>
      </c>
      <c r="T98" s="2" t="s">
        <v>18</v>
      </c>
      <c r="U98" s="2" t="s">
        <v>20</v>
      </c>
      <c r="V98" s="2" t="s">
        <v>21</v>
      </c>
    </row>
    <row r="99" spans="1:22" x14ac:dyDescent="0.25">
      <c r="A99">
        <f t="shared" si="54"/>
        <v>17.424999999999933</v>
      </c>
      <c r="B99">
        <f t="shared" si="52"/>
        <v>4.7847392845985857E-3</v>
      </c>
      <c r="C99">
        <f t="shared" si="53"/>
        <v>2.733494904273731E-5</v>
      </c>
      <c r="H99">
        <f t="shared" si="61"/>
        <v>22.849999999999994</v>
      </c>
      <c r="I99" s="1">
        <f t="shared" si="56"/>
        <v>-0.13539192399050226</v>
      </c>
      <c r="J99" s="1">
        <f t="shared" si="57"/>
        <v>0.44615100453122147</v>
      </c>
      <c r="K99" s="1">
        <f t="shared" si="58"/>
        <v>-1.0994186046511658</v>
      </c>
      <c r="L99" s="1">
        <f t="shared" si="59"/>
        <v>0.86420724030847862</v>
      </c>
      <c r="O99" s="1">
        <f t="shared" si="50"/>
        <v>0.55384899546877853</v>
      </c>
      <c r="P99" s="1">
        <f t="shared" si="51"/>
        <v>0.86420724030847862</v>
      </c>
      <c r="Q99" s="1">
        <f t="shared" si="60"/>
        <v>0.55384899546877853</v>
      </c>
      <c r="T99" s="2" t="s">
        <v>17</v>
      </c>
      <c r="U99" s="2">
        <v>0.34089999999999998</v>
      </c>
      <c r="V99" s="2">
        <v>0.66639999999999999</v>
      </c>
    </row>
    <row r="100" spans="1:22" x14ac:dyDescent="0.25">
      <c r="A100">
        <f t="shared" si="54"/>
        <v>17.449999999999932</v>
      </c>
      <c r="B100">
        <f t="shared" si="52"/>
        <v>4.9410459237895178E-3</v>
      </c>
      <c r="C100">
        <f t="shared" si="53"/>
        <v>2.9075165647677648E-5</v>
      </c>
      <c r="H100">
        <f t="shared" si="61"/>
        <v>22.899999999999995</v>
      </c>
      <c r="I100" s="1">
        <f t="shared" si="56"/>
        <v>-0.11163895486936178</v>
      </c>
      <c r="J100" s="1">
        <f t="shared" si="57"/>
        <v>0.4555548417766877</v>
      </c>
      <c r="K100" s="1">
        <f t="shared" si="58"/>
        <v>-1.0703488372093051</v>
      </c>
      <c r="L100" s="1">
        <f t="shared" si="59"/>
        <v>0.85776884027202049</v>
      </c>
      <c r="O100" s="1">
        <f t="shared" si="50"/>
        <v>0.5444451582233123</v>
      </c>
      <c r="P100" s="1">
        <f t="shared" si="51"/>
        <v>0.85776884027202049</v>
      </c>
      <c r="Q100" s="1">
        <f t="shared" si="60"/>
        <v>0.5444451582233123</v>
      </c>
      <c r="T100" s="2" t="s">
        <v>19</v>
      </c>
      <c r="U100" s="2">
        <f>U101-U99</f>
        <v>0.65910000000000002</v>
      </c>
      <c r="V100" s="2">
        <f>V101-V99</f>
        <v>0.33360000000000001</v>
      </c>
    </row>
    <row r="101" spans="1:22" x14ac:dyDescent="0.25">
      <c r="A101">
        <f t="shared" si="54"/>
        <v>17.47499999999993</v>
      </c>
      <c r="B101">
        <f t="shared" si="52"/>
        <v>5.1017390927225728E-3</v>
      </c>
      <c r="C101">
        <f t="shared" si="53"/>
        <v>3.0919636276370764E-5</v>
      </c>
      <c r="H101">
        <f t="shared" si="61"/>
        <v>22.949999999999996</v>
      </c>
      <c r="I101" s="1">
        <f t="shared" si="56"/>
        <v>-8.788598574822129E-2</v>
      </c>
      <c r="J101" s="1">
        <f t="shared" si="57"/>
        <v>0.464983647626804</v>
      </c>
      <c r="K101" s="1">
        <f t="shared" si="58"/>
        <v>-1.0412790697674441</v>
      </c>
      <c r="L101" s="1">
        <f t="shared" si="59"/>
        <v>0.85112697612945654</v>
      </c>
      <c r="O101" s="1">
        <f t="shared" si="50"/>
        <v>0.535016352373196</v>
      </c>
      <c r="P101" s="1">
        <f t="shared" si="51"/>
        <v>0.85112697612945654</v>
      </c>
      <c r="Q101" s="1">
        <f t="shared" si="60"/>
        <v>0.535016352373196</v>
      </c>
      <c r="T101" s="2" t="s">
        <v>23</v>
      </c>
      <c r="U101" s="2">
        <v>1</v>
      </c>
      <c r="V101" s="2">
        <v>1</v>
      </c>
    </row>
    <row r="102" spans="1:22" x14ac:dyDescent="0.25">
      <c r="A102">
        <f t="shared" si="54"/>
        <v>17.499999999999929</v>
      </c>
      <c r="B102">
        <f t="shared" si="52"/>
        <v>5.2669153848166079E-3</v>
      </c>
      <c r="C102">
        <f t="shared" si="53"/>
        <v>3.2874170625478845E-5</v>
      </c>
      <c r="H102">
        <f t="shared" si="61"/>
        <v>22.999999999999996</v>
      </c>
      <c r="I102" s="1">
        <f t="shared" si="56"/>
        <v>-6.4133016627080819E-2</v>
      </c>
      <c r="J102" s="1">
        <f t="shared" si="57"/>
        <v>0.47443215624159407</v>
      </c>
      <c r="K102" s="1">
        <f t="shared" si="58"/>
        <v>-1.0122093023255834</v>
      </c>
      <c r="L102" s="1">
        <f t="shared" si="59"/>
        <v>0.84428100531245442</v>
      </c>
      <c r="O102" s="1">
        <f t="shared" si="50"/>
        <v>0.52556784375840593</v>
      </c>
      <c r="P102" s="1">
        <f t="shared" si="51"/>
        <v>0.84428100531245442</v>
      </c>
      <c r="Q102" s="1">
        <f t="shared" si="60"/>
        <v>0.52556784375840593</v>
      </c>
    </row>
    <row r="103" spans="1:22" x14ac:dyDescent="0.25">
      <c r="A103">
        <f t="shared" si="54"/>
        <v>17.524999999999928</v>
      </c>
      <c r="B103">
        <f t="shared" si="52"/>
        <v>5.4366726002641553E-3</v>
      </c>
      <c r="C103">
        <f t="shared" si="53"/>
        <v>3.4944874340390849E-5</v>
      </c>
      <c r="H103">
        <f t="shared" si="61"/>
        <v>23.049999999999997</v>
      </c>
      <c r="I103" s="1">
        <f t="shared" si="56"/>
        <v>-4.0380047505940334E-2</v>
      </c>
      <c r="J103" s="1">
        <f t="shared" si="57"/>
        <v>0.4838950685287518</v>
      </c>
      <c r="K103" s="1">
        <f t="shared" si="58"/>
        <v>-0.98313953488372241</v>
      </c>
      <c r="L103" s="1">
        <f t="shared" si="59"/>
        <v>0.83723061559538758</v>
      </c>
      <c r="O103" s="1">
        <f t="shared" si="50"/>
        <v>0.51610493147124825</v>
      </c>
      <c r="P103" s="1">
        <f t="shared" si="51"/>
        <v>0.83723061559538758</v>
      </c>
      <c r="Q103" s="1">
        <f t="shared" si="60"/>
        <v>0.51610493147124825</v>
      </c>
    </row>
    <row r="104" spans="1:22" x14ac:dyDescent="0.25">
      <c r="A104">
        <f t="shared" si="54"/>
        <v>17.549999999999926</v>
      </c>
      <c r="B104">
        <f t="shared" si="52"/>
        <v>5.6111097290388687E-3</v>
      </c>
      <c r="C104">
        <f t="shared" si="53"/>
        <v>3.7138162401639712E-5</v>
      </c>
      <c r="H104">
        <f>H105-0.05</f>
        <v>23.099999999999998</v>
      </c>
      <c r="I104" s="1">
        <f t="shared" si="56"/>
        <v>-1.6627078384799855E-2</v>
      </c>
      <c r="J104" s="1">
        <f t="shared" si="57"/>
        <v>0.4933670610575871</v>
      </c>
      <c r="K104" s="1">
        <f t="shared" si="58"/>
        <v>-0.95406976744186156</v>
      </c>
      <c r="L104" s="1">
        <f t="shared" si="59"/>
        <v>0.8299758359039191</v>
      </c>
      <c r="O104" s="1">
        <f t="shared" si="50"/>
        <v>0.5066329389424129</v>
      </c>
      <c r="P104" s="1">
        <f t="shared" si="51"/>
        <v>0.8299758359039191</v>
      </c>
      <c r="Q104" s="1">
        <f t="shared" si="60"/>
        <v>0.5066329389424129</v>
      </c>
    </row>
    <row r="105" spans="1:22" x14ac:dyDescent="0.25">
      <c r="A105">
        <f t="shared" si="54"/>
        <v>17.574999999999925</v>
      </c>
      <c r="B105">
        <f t="shared" si="52"/>
        <v>5.7903269325016169E-3</v>
      </c>
      <c r="C105">
        <f t="shared" si="53"/>
        <v>3.9460773019045752E-5</v>
      </c>
      <c r="H105">
        <v>23.15</v>
      </c>
      <c r="I105" s="1">
        <f>($H105-I$4)/J$4</f>
        <v>7.1258907363406249E-3</v>
      </c>
      <c r="J105" s="1">
        <f>_xlfn.NORM.DIST(I105,0,1,1)</f>
        <v>0.50284279504150131</v>
      </c>
      <c r="K105" s="1">
        <f>($H105-K$4)/L$4</f>
        <v>-0.9250000000000006</v>
      </c>
      <c r="L105" s="1">
        <f>1-_xlfn.NORM.DIST(K105,0,1,1)</f>
        <v>0.82251704627676792</v>
      </c>
      <c r="O105" s="1">
        <f t="shared" si="50"/>
        <v>0.49715720495849869</v>
      </c>
      <c r="P105" s="1">
        <f t="shared" si="51"/>
        <v>0.82251704627676792</v>
      </c>
      <c r="Q105" s="1">
        <f t="shared" si="60"/>
        <v>0.49715720495849869</v>
      </c>
    </row>
    <row r="106" spans="1:22" x14ac:dyDescent="0.25">
      <c r="A106">
        <f t="shared" si="54"/>
        <v>17.599999999999923</v>
      </c>
      <c r="B106">
        <f t="shared" si="52"/>
        <v>5.9744255235758643E-3</v>
      </c>
      <c r="C106">
        <f t="shared" si="53"/>
        <v>4.1919782047409819E-5</v>
      </c>
      <c r="H106">
        <v>23.2</v>
      </c>
      <c r="I106" s="1">
        <f t="shared" ref="I106:I169" si="62">($H106-I$4)/J$4</f>
        <v>3.0878859857481105E-2</v>
      </c>
      <c r="J106" s="1">
        <f t="shared" ref="J106:J169" si="63">_xlfn.NORM.DIST(I106,0,1,1)</f>
        <v>0.5123169253637363</v>
      </c>
      <c r="K106" s="1">
        <f t="shared" ref="K106:K169" si="64">($H106-K$4)/L$4</f>
        <v>-0.89593023255813975</v>
      </c>
      <c r="L106" s="1">
        <f t="shared" ref="L106:L169" si="65">1-_xlfn.NORM.DIST(K106,0,1,1)</f>
        <v>0.81485498691308045</v>
      </c>
      <c r="O106" s="1">
        <f t="shared" si="50"/>
        <v>0.4876830746362637</v>
      </c>
      <c r="P106" s="1">
        <f t="shared" si="51"/>
        <v>0.81485498691308045</v>
      </c>
      <c r="Q106" s="1">
        <f t="shared" si="60"/>
        <v>0.4876830746362637</v>
      </c>
    </row>
    <row r="107" spans="1:22" x14ac:dyDescent="0.25">
      <c r="A107">
        <f t="shared" si="54"/>
        <v>17.624999999999922</v>
      </c>
      <c r="B107">
        <f t="shared" si="52"/>
        <v>6.163507945463516E-3</v>
      </c>
      <c r="C107">
        <f t="shared" si="53"/>
        <v>4.4522617937648165E-5</v>
      </c>
      <c r="H107">
        <f>H106+0.05</f>
        <v>23.25</v>
      </c>
      <c r="I107" s="1">
        <f t="shared" si="62"/>
        <v>5.4631828978621587E-2</v>
      </c>
      <c r="J107" s="1">
        <f t="shared" si="63"/>
        <v>0.52178410962096966</v>
      </c>
      <c r="K107" s="1">
        <f t="shared" si="64"/>
        <v>-0.8668604651162789</v>
      </c>
      <c r="L107" s="1">
        <f t="shared" si="65"/>
        <v>0.8069907662405682</v>
      </c>
      <c r="O107" s="1">
        <f t="shared" si="50"/>
        <v>0.47821589037903034</v>
      </c>
      <c r="P107" s="1">
        <f t="shared" si="51"/>
        <v>0.8069907662405682</v>
      </c>
      <c r="Q107" s="1">
        <f t="shared" si="60"/>
        <v>0.47821589037903034</v>
      </c>
    </row>
    <row r="108" spans="1:22" x14ac:dyDescent="0.25">
      <c r="A108">
        <f t="shared" si="54"/>
        <v>17.64999999999992</v>
      </c>
      <c r="B108">
        <f t="shared" si="52"/>
        <v>6.3576777488728187E-3</v>
      </c>
      <c r="C108">
        <f t="shared" si="53"/>
        <v>4.727707723732087E-5</v>
      </c>
      <c r="H108">
        <f t="shared" ref="H108:H134" si="66">H107+0.05</f>
        <v>23.3</v>
      </c>
      <c r="I108" s="1">
        <f t="shared" si="62"/>
        <v>7.8384798099762065E-2</v>
      </c>
      <c r="J108" s="1">
        <f t="shared" si="63"/>
        <v>0.53123901715925936</v>
      </c>
      <c r="K108" s="1">
        <f t="shared" si="64"/>
        <v>-0.83779069767441805</v>
      </c>
      <c r="L108" s="1">
        <f t="shared" si="65"/>
        <v>0.79892586794277798</v>
      </c>
      <c r="O108" s="1">
        <f t="shared" si="50"/>
        <v>0.46876098284074064</v>
      </c>
      <c r="P108" s="1">
        <f t="shared" si="51"/>
        <v>0.79892586794277798</v>
      </c>
      <c r="Q108" s="1">
        <f t="shared" si="60"/>
        <v>0.46876098284074064</v>
      </c>
    </row>
    <row r="109" spans="1:22" x14ac:dyDescent="0.25">
      <c r="A109">
        <f t="shared" si="54"/>
        <v>17.674999999999919</v>
      </c>
      <c r="B109">
        <f t="shared" si="52"/>
        <v>6.5570395677307007E-3</v>
      </c>
      <c r="C109">
        <f t="shared" si="53"/>
        <v>5.0191340654533181E-5</v>
      </c>
      <c r="H109">
        <f t="shared" si="66"/>
        <v>23.35</v>
      </c>
      <c r="I109" s="1">
        <f t="shared" si="62"/>
        <v>0.10213776722090255</v>
      </c>
      <c r="J109" s="1">
        <f t="shared" si="63"/>
        <v>0.54067633807687154</v>
      </c>
      <c r="K109" s="1">
        <f t="shared" si="64"/>
        <v>-0.80872093023255709</v>
      </c>
      <c r="L109" s="1">
        <f t="shared" si="65"/>
        <v>0.79066215688752806</v>
      </c>
      <c r="O109" s="1">
        <f t="shared" si="50"/>
        <v>0.45932366192312846</v>
      </c>
      <c r="P109" s="1">
        <f t="shared" si="51"/>
        <v>0.79066215688752806</v>
      </c>
      <c r="Q109" s="1">
        <f t="shared" si="60"/>
        <v>0.45932366192312846</v>
      </c>
    </row>
    <row r="110" spans="1:22" x14ac:dyDescent="0.25">
      <c r="A110">
        <f t="shared" si="54"/>
        <v>17.699999999999918</v>
      </c>
      <c r="B110">
        <f t="shared" si="52"/>
        <v>6.7616990933523947E-3</v>
      </c>
      <c r="C110">
        <f t="shared" si="53"/>
        <v>5.3273989699205879E-5</v>
      </c>
      <c r="H110">
        <f t="shared" si="66"/>
        <v>23.400000000000002</v>
      </c>
      <c r="I110" s="1">
        <f t="shared" si="62"/>
        <v>0.12589073634204304</v>
      </c>
      <c r="J110" s="1">
        <f t="shared" si="63"/>
        <v>0.55009079216865364</v>
      </c>
      <c r="K110" s="1">
        <f t="shared" si="64"/>
        <v>-0.77965116279069624</v>
      </c>
      <c r="L110" s="1">
        <f t="shared" si="65"/>
        <v>0.78220188390265388</v>
      </c>
      <c r="O110" s="1">
        <f t="shared" si="50"/>
        <v>0.44990920783134636</v>
      </c>
      <c r="P110" s="1">
        <f t="shared" si="51"/>
        <v>0.78220188390265388</v>
      </c>
      <c r="Q110" s="1">
        <f t="shared" si="60"/>
        <v>0.44990920783134636</v>
      </c>
    </row>
    <row r="111" spans="1:22" x14ac:dyDescent="0.25">
      <c r="A111">
        <f t="shared" si="54"/>
        <v>17.724999999999916</v>
      </c>
      <c r="B111">
        <f t="shared" si="52"/>
        <v>6.9717630470419612E-3</v>
      </c>
      <c r="C111">
        <f t="shared" si="53"/>
        <v>5.653402391569352E-5</v>
      </c>
      <c r="H111">
        <f t="shared" si="66"/>
        <v>23.450000000000003</v>
      </c>
      <c r="I111" s="1">
        <f t="shared" si="62"/>
        <v>0.14964370546318351</v>
      </c>
      <c r="J111" s="1">
        <f t="shared" si="63"/>
        <v>0.55947713778684793</v>
      </c>
      <c r="K111" s="1">
        <f t="shared" si="64"/>
        <v>-0.75058139534883539</v>
      </c>
      <c r="L111" s="1">
        <f t="shared" si="65"/>
        <v>0.77354768934974383</v>
      </c>
      <c r="O111" s="1">
        <f t="shared" si="50"/>
        <v>0.44052286221315207</v>
      </c>
      <c r="P111" s="1">
        <f t="shared" si="51"/>
        <v>0.77354768934974383</v>
      </c>
      <c r="Q111" s="1">
        <f t="shared" si="60"/>
        <v>0.44052286221315207</v>
      </c>
    </row>
    <row r="112" spans="1:22" x14ac:dyDescent="0.25">
      <c r="A112">
        <f t="shared" si="54"/>
        <v>17.749999999999915</v>
      </c>
      <c r="B112">
        <f t="shared" si="52"/>
        <v>7.1873391510980551E-3</v>
      </c>
      <c r="C112">
        <f t="shared" si="53"/>
        <v>5.9980878720695239E-5</v>
      </c>
      <c r="H112">
        <f t="shared" si="66"/>
        <v>23.500000000000004</v>
      </c>
      <c r="I112" s="1">
        <f t="shared" si="62"/>
        <v>0.17339667458432398</v>
      </c>
      <c r="J112" s="1">
        <f t="shared" si="63"/>
        <v>0.56883018059356927</v>
      </c>
      <c r="K112" s="1">
        <f t="shared" si="64"/>
        <v>-0.72151162790697454</v>
      </c>
      <c r="L112" s="1">
        <f t="shared" si="65"/>
        <v>0.76470260545149582</v>
      </c>
      <c r="O112" s="1">
        <f t="shared" si="50"/>
        <v>0.43116981940643073</v>
      </c>
      <c r="P112" s="1">
        <f t="shared" si="51"/>
        <v>0.76470260545149582</v>
      </c>
      <c r="Q112" s="1">
        <f t="shared" si="60"/>
        <v>0.43116981940643073</v>
      </c>
    </row>
    <row r="113" spans="1:17" x14ac:dyDescent="0.25">
      <c r="A113">
        <f t="shared" si="54"/>
        <v>17.774999999999913</v>
      </c>
      <c r="B113">
        <f t="shared" si="52"/>
        <v>7.4085360982000942E-3</v>
      </c>
      <c r="C113">
        <f t="shared" si="53"/>
        <v>6.3624443860336153E-5</v>
      </c>
      <c r="H113">
        <f t="shared" si="66"/>
        <v>23.550000000000004</v>
      </c>
      <c r="I113" s="1">
        <f t="shared" si="62"/>
        <v>0.19714964370546448</v>
      </c>
      <c r="J113" s="1">
        <f t="shared" si="63"/>
        <v>0.57814478218059451</v>
      </c>
      <c r="K113" s="1">
        <f t="shared" si="64"/>
        <v>-0.69244186046511358</v>
      </c>
      <c r="L113" s="1">
        <f t="shared" si="65"/>
        <v>0.75567005733365877</v>
      </c>
      <c r="O113" s="1">
        <f t="shared" si="50"/>
        <v>0.42185521781940549</v>
      </c>
      <c r="P113" s="1">
        <f t="shared" si="51"/>
        <v>0.75567005733365877</v>
      </c>
      <c r="Q113" s="1">
        <f t="shared" si="60"/>
        <v>0.42185521781940549</v>
      </c>
    </row>
    <row r="114" spans="1:17" x14ac:dyDescent="0.25">
      <c r="A114">
        <f t="shared" si="54"/>
        <v>17.799999999999912</v>
      </c>
      <c r="B114">
        <f t="shared" si="52"/>
        <v>7.6354635191508008E-3</v>
      </c>
      <c r="C114">
        <f t="shared" si="53"/>
        <v>6.747508250020411E-5</v>
      </c>
      <c r="H114">
        <f t="shared" si="66"/>
        <v>23.600000000000005</v>
      </c>
      <c r="I114" s="1">
        <f t="shared" si="62"/>
        <v>0.22090261282660495</v>
      </c>
      <c r="J114" s="1">
        <f t="shared" si="63"/>
        <v>0.58741586853263594</v>
      </c>
      <c r="K114" s="1">
        <f t="shared" si="64"/>
        <v>-0.66337209302325273</v>
      </c>
      <c r="L114" s="1">
        <f t="shared" si="65"/>
        <v>0.74645386274821124</v>
      </c>
      <c r="O114" s="1">
        <f t="shared" si="50"/>
        <v>0.41258413146736406</v>
      </c>
      <c r="P114" s="1">
        <f t="shared" si="51"/>
        <v>0.74645386274821124</v>
      </c>
      <c r="Q114" s="1">
        <f t="shared" si="60"/>
        <v>0.41258413146736406</v>
      </c>
    </row>
    <row r="115" spans="1:17" x14ac:dyDescent="0.25">
      <c r="A115">
        <f t="shared" si="54"/>
        <v>17.82499999999991</v>
      </c>
      <c r="B115">
        <f t="shared" si="52"/>
        <v>7.8682319489520296E-3</v>
      </c>
      <c r="C115">
        <f t="shared" si="53"/>
        <v>7.1543650962009329E-5</v>
      </c>
      <c r="H115">
        <f t="shared" si="66"/>
        <v>23.650000000000006</v>
      </c>
      <c r="I115" s="1">
        <f t="shared" si="62"/>
        <v>0.24465558194774542</v>
      </c>
      <c r="J115" s="1">
        <f t="shared" si="63"/>
        <v>0.59663843831088093</v>
      </c>
      <c r="K115" s="1">
        <f t="shared" si="64"/>
        <v>-0.63430232558139188</v>
      </c>
      <c r="L115" s="1">
        <f t="shared" si="65"/>
        <v>0.73705823045045138</v>
      </c>
      <c r="O115" s="1">
        <f t="shared" si="50"/>
        <v>0.40336156168911907</v>
      </c>
      <c r="P115" s="1">
        <f t="shared" si="51"/>
        <v>0.73705823045045138</v>
      </c>
      <c r="Q115" s="1">
        <f t="shared" si="60"/>
        <v>0.40336156168911907</v>
      </c>
    </row>
    <row r="116" spans="1:17" x14ac:dyDescent="0.25">
      <c r="A116">
        <f t="shared" si="54"/>
        <v>17.849999999999909</v>
      </c>
      <c r="B116">
        <f t="shared" si="52"/>
        <v>8.1069527911917516E-3</v>
      </c>
      <c r="C116">
        <f t="shared" si="53"/>
        <v>7.5841519120375017E-5</v>
      </c>
      <c r="H116">
        <f t="shared" si="66"/>
        <v>23.700000000000006</v>
      </c>
      <c r="I116" s="1">
        <f t="shared" si="62"/>
        <v>0.26840855106888589</v>
      </c>
      <c r="J116" s="1">
        <f t="shared" si="63"/>
        <v>0.60580757093428272</v>
      </c>
      <c r="K116" s="1">
        <f t="shared" si="64"/>
        <v>-0.60523255813953103</v>
      </c>
      <c r="L116" s="1">
        <f t="shared" si="65"/>
        <v>0.72748775720898029</v>
      </c>
      <c r="O116" s="1">
        <f t="shared" si="50"/>
        <v>0.39419242906571728</v>
      </c>
      <c r="P116" s="1">
        <f t="shared" si="51"/>
        <v>0.72748775720898029</v>
      </c>
      <c r="Q116" s="1">
        <f t="shared" si="60"/>
        <v>0.39419242906571728</v>
      </c>
    </row>
    <row r="117" spans="1:17" x14ac:dyDescent="0.25">
      <c r="A117">
        <f t="shared" si="54"/>
        <v>17.874999999999908</v>
      </c>
      <c r="B117">
        <f t="shared" si="52"/>
        <v>8.3517382807209682E-3</v>
      </c>
      <c r="C117">
        <f t="shared" si="53"/>
        <v>8.0380591473084445E-5</v>
      </c>
      <c r="H117">
        <f t="shared" si="66"/>
        <v>23.750000000000007</v>
      </c>
      <c r="I117" s="1">
        <f t="shared" si="62"/>
        <v>0.29216152019002639</v>
      </c>
      <c r="J117" s="1">
        <f t="shared" si="63"/>
        <v>0.61491843443687677</v>
      </c>
      <c r="K117" s="1">
        <f t="shared" si="64"/>
        <v>-0.57616279069767007</v>
      </c>
      <c r="L117" s="1">
        <f t="shared" si="65"/>
        <v>0.71774742343413123</v>
      </c>
      <c r="O117" s="1">
        <f t="shared" si="50"/>
        <v>0.38508156556312323</v>
      </c>
      <c r="P117" s="1">
        <f t="shared" si="51"/>
        <v>0.71774742343413123</v>
      </c>
      <c r="Q117" s="1">
        <f t="shared" si="60"/>
        <v>0.38508156556312323</v>
      </c>
    </row>
    <row r="118" spans="1:17" x14ac:dyDescent="0.25">
      <c r="A118">
        <f t="shared" si="54"/>
        <v>17.899999999999906</v>
      </c>
      <c r="B118">
        <f t="shared" si="52"/>
        <v>8.6027014446006592E-3</v>
      </c>
      <c r="C118">
        <f t="shared" si="53"/>
        <v>8.5173328897890008E-5</v>
      </c>
      <c r="H118">
        <f t="shared" si="66"/>
        <v>23.800000000000008</v>
      </c>
      <c r="I118" s="1">
        <f t="shared" si="62"/>
        <v>0.31591448931116689</v>
      </c>
      <c r="J118" s="1">
        <f t="shared" si="63"/>
        <v>0.62396629308026541</v>
      </c>
      <c r="K118" s="1">
        <f t="shared" si="64"/>
        <v>-0.54709302325580922</v>
      </c>
      <c r="L118" s="1">
        <f t="shared" si="65"/>
        <v>0.70784258741717998</v>
      </c>
      <c r="O118" s="1">
        <f t="shared" si="50"/>
        <v>0.37603370691973459</v>
      </c>
      <c r="P118" s="1">
        <f t="shared" si="51"/>
        <v>0.70784258741717998</v>
      </c>
      <c r="Q118" s="1">
        <f t="shared" si="60"/>
        <v>0.37603370691973459</v>
      </c>
    </row>
    <row r="119" spans="1:17" x14ac:dyDescent="0.25">
      <c r="A119">
        <f t="shared" si="54"/>
        <v>17.924999999999905</v>
      </c>
      <c r="B119">
        <f t="shared" si="52"/>
        <v>8.8599560612996394E-3</v>
      </c>
      <c r="C119">
        <f t="shared" si="53"/>
        <v>9.0232771108728315E-5</v>
      </c>
      <c r="H119">
        <f t="shared" si="66"/>
        <v>23.850000000000009</v>
      </c>
      <c r="I119" s="1">
        <f t="shared" si="62"/>
        <v>0.33966745843230733</v>
      </c>
      <c r="J119" s="1">
        <f t="shared" si="63"/>
        <v>0.63294651470135788</v>
      </c>
      <c r="K119" s="1">
        <f t="shared" si="64"/>
        <v>-0.51802325581394837</v>
      </c>
      <c r="L119" s="1">
        <f t="shared" si="65"/>
        <v>0.69777897817963308</v>
      </c>
      <c r="O119" s="1">
        <f t="shared" si="50"/>
        <v>0.36705348529864212</v>
      </c>
      <c r="P119" s="1">
        <f t="shared" si="51"/>
        <v>0.69777897817963308</v>
      </c>
      <c r="Q119" s="1">
        <f t="shared" si="60"/>
        <v>0.36705348529864212</v>
      </c>
    </row>
    <row r="120" spans="1:17" x14ac:dyDescent="0.25">
      <c r="A120">
        <f t="shared" si="54"/>
        <v>17.949999999999903</v>
      </c>
      <c r="B120">
        <f t="shared" si="52"/>
        <v>9.1236166181257114E-3</v>
      </c>
      <c r="C120">
        <f t="shared" si="53"/>
        <v>9.5572559823897443E-5</v>
      </c>
      <c r="H120">
        <f>H119+0.05</f>
        <v>23.900000000000009</v>
      </c>
      <c r="I120" s="1">
        <f t="shared" si="62"/>
        <v>0.36342042755344783</v>
      </c>
      <c r="J120" s="1">
        <f t="shared" si="63"/>
        <v>0.64185457777647759</v>
      </c>
      <c r="K120" s="1">
        <f t="shared" si="64"/>
        <v>-0.48895348837208746</v>
      </c>
      <c r="L120" s="1">
        <f t="shared" si="65"/>
        <v>0.6875626869389786</v>
      </c>
      <c r="O120" s="1">
        <f t="shared" si="50"/>
        <v>0.35814542222352241</v>
      </c>
      <c r="P120" s="1">
        <f t="shared" si="51"/>
        <v>0.6875626869389786</v>
      </c>
      <c r="Q120" s="1">
        <f t="shared" si="60"/>
        <v>0.35814542222352241</v>
      </c>
    </row>
    <row r="121" spans="1:17" x14ac:dyDescent="0.25">
      <c r="A121">
        <f t="shared" si="54"/>
        <v>17.974999999999902</v>
      </c>
      <c r="B121">
        <f t="shared" si="52"/>
        <v>9.3937982668734921E-3</v>
      </c>
      <c r="C121">
        <f t="shared" si="53"/>
        <v>1.0120696265841474E-4</v>
      </c>
      <c r="H121">
        <f t="shared" si="66"/>
        <v>23.95000000000001</v>
      </c>
      <c r="I121" s="1">
        <f t="shared" si="62"/>
        <v>0.38717339667458833</v>
      </c>
      <c r="J121" s="1">
        <f t="shared" si="63"/>
        <v>0.6506860781840289</v>
      </c>
      <c r="K121" s="1">
        <f t="shared" si="64"/>
        <v>-0.45988372093022656</v>
      </c>
      <c r="L121" s="1">
        <f t="shared" si="65"/>
        <v>0.67720015720446125</v>
      </c>
      <c r="O121" s="1">
        <f t="shared" ref="O121:O124" si="67">1-J121</f>
        <v>0.3493139218159711</v>
      </c>
      <c r="P121" s="1">
        <f t="shared" ref="P121:P124" si="68">L121</f>
        <v>0.67720015720446125</v>
      </c>
      <c r="Q121" s="1">
        <f t="shared" si="60"/>
        <v>0.3493139218159711</v>
      </c>
    </row>
    <row r="122" spans="1:17" x14ac:dyDescent="0.25">
      <c r="A122">
        <f t="shared" si="54"/>
        <v>17.999999999999901</v>
      </c>
      <c r="B122">
        <f t="shared" si="52"/>
        <v>9.6706167776736979E-3</v>
      </c>
      <c r="C122">
        <f t="shared" si="53"/>
        <v>1.0715089775239676E-4</v>
      </c>
      <c r="H122">
        <f t="shared" si="66"/>
        <v>24.000000000000011</v>
      </c>
      <c r="I122" s="1">
        <f t="shared" si="62"/>
        <v>0.41092636579572878</v>
      </c>
      <c r="J122" s="1">
        <f t="shared" si="63"/>
        <v>0.65943673564907079</v>
      </c>
      <c r="K122" s="1">
        <f t="shared" si="64"/>
        <v>-0.43081395348836571</v>
      </c>
      <c r="L122" s="1">
        <f t="shared" si="65"/>
        <v>0.66669817352365368</v>
      </c>
      <c r="O122" s="1">
        <f t="shared" si="67"/>
        <v>0.34056326435092921</v>
      </c>
      <c r="P122" s="1">
        <f t="shared" si="68"/>
        <v>0.66669817352365368</v>
      </c>
      <c r="Q122" s="1">
        <f t="shared" si="60"/>
        <v>0.34056326435092921</v>
      </c>
    </row>
    <row r="123" spans="1:17" x14ac:dyDescent="0.25">
      <c r="A123">
        <f t="shared" si="54"/>
        <v>18.024999999999899</v>
      </c>
      <c r="B123">
        <f t="shared" si="52"/>
        <v>9.954188491030044E-3</v>
      </c>
      <c r="C123">
        <f t="shared" si="53"/>
        <v>1.134199591468895E-4</v>
      </c>
      <c r="H123">
        <f t="shared" si="66"/>
        <v>24.050000000000011</v>
      </c>
      <c r="I123" s="1">
        <f t="shared" si="62"/>
        <v>0.43467933491686928</v>
      </c>
      <c r="J123" s="1">
        <f t="shared" si="63"/>
        <v>0.66810239985434428</v>
      </c>
      <c r="K123" s="1">
        <f t="shared" si="64"/>
        <v>-0.4017441860465048</v>
      </c>
      <c r="L123" s="1">
        <f t="shared" si="65"/>
        <v>0.65606384890779745</v>
      </c>
      <c r="O123" s="1">
        <f t="shared" si="67"/>
        <v>0.33189760014565572</v>
      </c>
      <c r="P123" s="1">
        <f t="shared" si="68"/>
        <v>0.65606384890779745</v>
      </c>
      <c r="Q123" s="1">
        <f t="shared" si="60"/>
        <v>0.33189760014565572</v>
      </c>
    </row>
    <row r="124" spans="1:17" x14ac:dyDescent="0.25">
      <c r="A124">
        <f t="shared" si="54"/>
        <v>18.049999999999898</v>
      </c>
      <c r="B124">
        <f t="shared" si="52"/>
        <v>1.0244630268031206E-2</v>
      </c>
      <c r="C124">
        <f t="shared" si="53"/>
        <v>1.2003044291811272E-4</v>
      </c>
      <c r="H124">
        <f t="shared" si="66"/>
        <v>24.100000000000012</v>
      </c>
      <c r="I124" s="1">
        <f t="shared" si="62"/>
        <v>0.45843230403800977</v>
      </c>
      <c r="J124" s="1">
        <f t="shared" si="63"/>
        <v>0.67667905620356295</v>
      </c>
      <c r="K124" s="1">
        <f t="shared" si="64"/>
        <v>-0.37267441860464395</v>
      </c>
      <c r="L124" s="1">
        <f t="shared" si="65"/>
        <v>0.64530461097102987</v>
      </c>
      <c r="O124" s="1">
        <f t="shared" si="67"/>
        <v>0.32332094379643705</v>
      </c>
      <c r="P124" s="1">
        <f t="shared" si="68"/>
        <v>0.64530461097102987</v>
      </c>
      <c r="Q124" s="1">
        <f t="shared" si="60"/>
        <v>0.32332094379643705</v>
      </c>
    </row>
    <row r="125" spans="1:17" x14ac:dyDescent="0.25">
      <c r="A125">
        <f t="shared" si="54"/>
        <v>18.074999999999896</v>
      </c>
      <c r="B125">
        <f t="shared" si="52"/>
        <v>1.0542059438726915E-2</v>
      </c>
      <c r="C125">
        <f t="shared" si="53"/>
        <v>1.269993740805685E-4</v>
      </c>
      <c r="H125">
        <f t="shared" si="66"/>
        <v>24.150000000000013</v>
      </c>
      <c r="I125" s="1">
        <f t="shared" si="62"/>
        <v>0.48218527315915022</v>
      </c>
      <c r="J125" s="1">
        <f t="shared" si="63"/>
        <v>0.68516283122407029</v>
      </c>
      <c r="K125" s="1">
        <f t="shared" si="64"/>
        <v>-0.34360465116278305</v>
      </c>
      <c r="L125" s="1">
        <f t="shared" si="65"/>
        <v>0.63442818682563762</v>
      </c>
      <c r="O125" s="1">
        <f t="shared" ref="O125:O136" si="69">1-J125</f>
        <v>0.31483716877592971</v>
      </c>
      <c r="P125" s="1">
        <f t="shared" ref="P125:P136" si="70">L125</f>
        <v>0.63442818682563762</v>
      </c>
      <c r="Q125" s="1">
        <f t="shared" si="60"/>
        <v>0.31483716877592971</v>
      </c>
    </row>
    <row r="126" spans="1:17" x14ac:dyDescent="0.25">
      <c r="A126">
        <f t="shared" si="54"/>
        <v>18.099999999999895</v>
      </c>
      <c r="B126">
        <f t="shared" si="52"/>
        <v>1.0846593748658503E-2</v>
      </c>
      <c r="C126">
        <f t="shared" si="53"/>
        <v>1.3434453426891755E-4</v>
      </c>
      <c r="H126">
        <f t="shared" si="66"/>
        <v>24.200000000000014</v>
      </c>
      <c r="I126" s="1">
        <f t="shared" si="62"/>
        <v>0.50593824228029072</v>
      </c>
      <c r="J126" s="1">
        <f t="shared" si="63"/>
        <v>0.69354999759731517</v>
      </c>
      <c r="K126" s="1">
        <f t="shared" si="64"/>
        <v>-0.3145348837209222</v>
      </c>
      <c r="L126" s="1">
        <f t="shared" si="65"/>
        <v>0.62344258678235709</v>
      </c>
      <c r="O126" s="1">
        <f t="shared" si="69"/>
        <v>0.30645000240268483</v>
      </c>
      <c r="P126" s="1">
        <f t="shared" si="70"/>
        <v>0.62344258678235709</v>
      </c>
      <c r="Q126" s="1">
        <f t="shared" si="60"/>
        <v>0.30645000240268483</v>
      </c>
    </row>
    <row r="127" spans="1:17" x14ac:dyDescent="0.25">
      <c r="A127">
        <f t="shared" si="54"/>
        <v>18.124999999999893</v>
      </c>
      <c r="B127">
        <f t="shared" si="52"/>
        <v>1.1158351303536193E-2</v>
      </c>
      <c r="C127">
        <f t="shared" si="53"/>
        <v>1.4208449020790769E-4</v>
      </c>
      <c r="H127">
        <f t="shared" si="66"/>
        <v>24.250000000000014</v>
      </c>
      <c r="I127" s="1">
        <f t="shared" si="62"/>
        <v>0.52969121140143116</v>
      </c>
      <c r="J127" s="1">
        <f t="shared" si="63"/>
        <v>0.70183697880695683</v>
      </c>
      <c r="K127" s="1">
        <f t="shared" si="64"/>
        <v>-0.28546511627906129</v>
      </c>
      <c r="L127" s="1">
        <f t="shared" si="65"/>
        <v>0.61235608691139953</v>
      </c>
      <c r="O127" s="1">
        <f t="shared" si="69"/>
        <v>0.29816302119304317</v>
      </c>
      <c r="P127" s="1">
        <f t="shared" si="70"/>
        <v>0.61235608691139953</v>
      </c>
      <c r="Q127" s="1">
        <f t="shared" si="60"/>
        <v>0.29816302119304317</v>
      </c>
    </row>
    <row r="128" spans="1:17" x14ac:dyDescent="0.25">
      <c r="A128">
        <f t="shared" si="54"/>
        <v>18.149999999999892</v>
      </c>
      <c r="B128">
        <f t="shared" si="52"/>
        <v>1.1477450512056583E-2</v>
      </c>
      <c r="C128">
        <f t="shared" si="53"/>
        <v>1.5023862297899147E-4</v>
      </c>
      <c r="H128">
        <f t="shared" si="66"/>
        <v>24.300000000000015</v>
      </c>
      <c r="I128" s="1">
        <f t="shared" si="62"/>
        <v>0.55344418052257172</v>
      </c>
      <c r="J128" s="1">
        <f t="shared" si="63"/>
        <v>0.71002035339581959</v>
      </c>
      <c r="K128" s="1">
        <f t="shared" si="64"/>
        <v>-0.25639534883720044</v>
      </c>
      <c r="L128" s="1">
        <f t="shared" si="65"/>
        <v>0.60117721052629014</v>
      </c>
      <c r="O128" s="1">
        <f t="shared" si="69"/>
        <v>0.28997964660418041</v>
      </c>
      <c r="P128" s="1">
        <f t="shared" si="70"/>
        <v>0.60117721052629014</v>
      </c>
      <c r="Q128" s="1">
        <f t="shared" si="60"/>
        <v>0.28997964660418041</v>
      </c>
    </row>
    <row r="129" spans="1:17" x14ac:dyDescent="0.25">
      <c r="A129">
        <f t="shared" si="54"/>
        <v>18.174999999999891</v>
      </c>
      <c r="B129">
        <f t="shared" si="52"/>
        <v>1.1804010026855888E-2</v>
      </c>
      <c r="C129">
        <f t="shared" si="53"/>
        <v>1.5882715809155176E-4</v>
      </c>
      <c r="H129">
        <f t="shared" si="66"/>
        <v>24.350000000000016</v>
      </c>
      <c r="I129" s="1">
        <f t="shared" si="62"/>
        <v>0.57719714964371216</v>
      </c>
      <c r="J129" s="1">
        <f t="shared" si="63"/>
        <v>0.71809685882432439</v>
      </c>
      <c r="K129" s="1">
        <f t="shared" si="64"/>
        <v>-0.22732558139533957</v>
      </c>
      <c r="L129" s="1">
        <f t="shared" si="65"/>
        <v>0.58991470865871509</v>
      </c>
      <c r="O129" s="1">
        <f t="shared" si="69"/>
        <v>0.28190314117567561</v>
      </c>
      <c r="P129" s="1">
        <f t="shared" si="70"/>
        <v>0.58991470865871509</v>
      </c>
      <c r="Q129" s="1">
        <f t="shared" si="60"/>
        <v>0.28190314117567561</v>
      </c>
    </row>
    <row r="130" spans="1:17" x14ac:dyDescent="0.25">
      <c r="A130">
        <f t="shared" si="54"/>
        <v>18.199999999999889</v>
      </c>
      <c r="B130">
        <f t="shared" si="52"/>
        <v>1.2138148683595897E-2</v>
      </c>
      <c r="C130">
        <f t="shared" si="53"/>
        <v>1.678711963658882E-4</v>
      </c>
      <c r="H130">
        <f>H129+0.05</f>
        <v>24.400000000000016</v>
      </c>
      <c r="I130" s="1">
        <f t="shared" si="62"/>
        <v>0.6009501187648526</v>
      </c>
      <c r="J130" s="1">
        <f t="shared" si="63"/>
        <v>0.72606339492445593</v>
      </c>
      <c r="K130" s="1">
        <f t="shared" si="64"/>
        <v>-0.19825581395347869</v>
      </c>
      <c r="L130" s="1">
        <f t="shared" si="65"/>
        <v>0.5785775395983338</v>
      </c>
      <c r="O130" s="1">
        <f t="shared" si="69"/>
        <v>0.27393660507554407</v>
      </c>
      <c r="P130" s="1">
        <f t="shared" si="70"/>
        <v>0.5785775395983338</v>
      </c>
      <c r="Q130" s="1">
        <f t="shared" si="60"/>
        <v>0.27393660507554407</v>
      </c>
    </row>
    <row r="131" spans="1:17" x14ac:dyDescent="0.25">
      <c r="A131">
        <f t="shared" si="54"/>
        <v>18.224999999999888</v>
      </c>
      <c r="B131">
        <f t="shared" ref="B131:B194" si="71">_xlfn.NORM.DIST(A131,23.135,2.105,0)</f>
        <v>1.2479985438181561E-2</v>
      </c>
      <c r="C131">
        <f t="shared" ref="C131:C194" si="72">_xlfn.NORM.DIST(A131,24.741,1.72,0)</f>
        <v>1.773927456343E-4</v>
      </c>
      <c r="H131">
        <f t="shared" si="66"/>
        <v>24.450000000000017</v>
      </c>
      <c r="I131" s="1">
        <f t="shared" si="62"/>
        <v>0.62470308788599316</v>
      </c>
      <c r="J131" s="1">
        <f t="shared" si="63"/>
        <v>0.73391702694475836</v>
      </c>
      <c r="K131" s="1">
        <f t="shared" si="64"/>
        <v>-0.16918604651161781</v>
      </c>
      <c r="L131" s="1">
        <f t="shared" si="65"/>
        <v>0.56717484757688164</v>
      </c>
      <c r="O131" s="1">
        <f t="shared" si="69"/>
        <v>0.26608297305524164</v>
      </c>
      <c r="P131" s="1">
        <f t="shared" si="70"/>
        <v>0.56717484757688164</v>
      </c>
      <c r="Q131" s="1">
        <f t="shared" si="60"/>
        <v>0.26608297305524164</v>
      </c>
    </row>
    <row r="132" spans="1:17" x14ac:dyDescent="0.25">
      <c r="A132">
        <f t="shared" ref="A132:A195" si="73">A131+0.025</f>
        <v>18.249999999999886</v>
      </c>
      <c r="B132">
        <f t="shared" si="71"/>
        <v>1.2829639302111012E-2</v>
      </c>
      <c r="C132">
        <f t="shared" si="72"/>
        <v>1.874147532657092E-4</v>
      </c>
      <c r="H132">
        <f t="shared" si="66"/>
        <v>24.500000000000018</v>
      </c>
      <c r="I132" s="1">
        <f t="shared" si="62"/>
        <v>0.6484560570071336</v>
      </c>
      <c r="J132" s="1">
        <f t="shared" si="63"/>
        <v>0.74165498818328479</v>
      </c>
      <c r="K132" s="1">
        <f t="shared" si="64"/>
        <v>-0.1401162790697569</v>
      </c>
      <c r="L132" s="1">
        <f t="shared" si="65"/>
        <v>0.55571594068083541</v>
      </c>
      <c r="O132" s="1">
        <f t="shared" si="69"/>
        <v>0.25834501181671521</v>
      </c>
      <c r="P132" s="1">
        <f t="shared" si="70"/>
        <v>0.55571594068083541</v>
      </c>
      <c r="Q132" s="1">
        <f t="shared" si="60"/>
        <v>0.25834501181671521</v>
      </c>
    </row>
    <row r="133" spans="1:17" x14ac:dyDescent="0.25">
      <c r="A133">
        <f t="shared" si="73"/>
        <v>18.274999999999885</v>
      </c>
      <c r="B133">
        <f t="shared" si="71"/>
        <v>1.3187229275960487E-2</v>
      </c>
      <c r="C133">
        <f t="shared" si="72"/>
        <v>1.9796113951834113E-4</v>
      </c>
      <c r="H133">
        <f t="shared" si="66"/>
        <v>24.550000000000018</v>
      </c>
      <c r="I133" s="1">
        <f t="shared" si="62"/>
        <v>0.67220902612827405</v>
      </c>
      <c r="J133" s="1">
        <f t="shared" si="63"/>
        <v>0.74927468220685245</v>
      </c>
      <c r="K133" s="1">
        <f t="shared" si="64"/>
        <v>-0.11104651162789604</v>
      </c>
      <c r="L133" s="1">
        <f t="shared" si="65"/>
        <v>0.54421026808139106</v>
      </c>
      <c r="O133" s="1">
        <f t="shared" si="69"/>
        <v>0.25072531779314755</v>
      </c>
      <c r="P133" s="1">
        <f t="shared" si="70"/>
        <v>0.54421026808139106</v>
      </c>
      <c r="Q133" s="1">
        <f t="shared" si="60"/>
        <v>0.25072531779314755</v>
      </c>
    </row>
    <row r="134" spans="1:17" x14ac:dyDescent="0.25">
      <c r="A134">
        <f t="shared" si="73"/>
        <v>18.299999999999883</v>
      </c>
      <c r="B134">
        <f t="shared" si="71"/>
        <v>1.355287428100891E-2</v>
      </c>
      <c r="C134">
        <f t="shared" si="72"/>
        <v>2.0905683172395986E-4</v>
      </c>
      <c r="H134">
        <f t="shared" si="66"/>
        <v>24.600000000000019</v>
      </c>
      <c r="I134" s="1">
        <f t="shared" si="62"/>
        <v>0.6959619952494146</v>
      </c>
      <c r="J134" s="1">
        <f t="shared" si="63"/>
        <v>0.75677368465636918</v>
      </c>
      <c r="K134" s="1">
        <f t="shared" si="64"/>
        <v>-8.1976744186035164E-2</v>
      </c>
      <c r="L134" s="1">
        <f t="shared" si="65"/>
        <v>0.53266739667448504</v>
      </c>
      <c r="O134" s="1">
        <f t="shared" si="69"/>
        <v>0.24322631534363082</v>
      </c>
      <c r="P134" s="1">
        <f t="shared" si="70"/>
        <v>0.53266739667448504</v>
      </c>
      <c r="Q134" s="1">
        <f t="shared" si="60"/>
        <v>0.24322631534363082</v>
      </c>
    </row>
    <row r="135" spans="1:17" x14ac:dyDescent="0.25">
      <c r="A135">
        <f t="shared" si="73"/>
        <v>18.324999999999882</v>
      </c>
      <c r="B135">
        <f t="shared" si="71"/>
        <v>1.3926693089008372E-2</v>
      </c>
      <c r="C135">
        <f t="shared" si="72"/>
        <v>2.2072779930610816E-4</v>
      </c>
      <c r="H135">
        <f>H134+0.05</f>
        <v>24.65000000000002</v>
      </c>
      <c r="I135" s="1">
        <f t="shared" si="62"/>
        <v>0.71971496437055504</v>
      </c>
      <c r="J135" s="1">
        <f t="shared" si="63"/>
        <v>0.76414974463938823</v>
      </c>
      <c r="K135" s="1">
        <f t="shared" si="64"/>
        <v>-5.2906976744174279E-2</v>
      </c>
      <c r="L135" s="1">
        <f t="shared" si="65"/>
        <v>0.52109698722704145</v>
      </c>
      <c r="O135" s="1">
        <f t="shared" si="69"/>
        <v>0.23585025536061177</v>
      </c>
      <c r="P135" s="1">
        <f t="shared" si="70"/>
        <v>0.52109698722704145</v>
      </c>
      <c r="Q135" s="1">
        <f t="shared" ref="Q135:Q198" si="74">O135</f>
        <v>0.23585025536061177</v>
      </c>
    </row>
    <row r="136" spans="1:17" x14ac:dyDescent="0.25">
      <c r="A136">
        <f t="shared" si="73"/>
        <v>18.349999999999881</v>
      </c>
      <c r="B136">
        <f t="shared" si="71"/>
        <v>1.430880425010941E-2</v>
      </c>
      <c r="C136">
        <f t="shared" si="72"/>
        <v>2.3300108963365777E-4</v>
      </c>
      <c r="H136">
        <f>H135+0.05</f>
        <v>24.700000000000021</v>
      </c>
      <c r="I136" s="1">
        <f t="shared" si="62"/>
        <v>0.74346793349169549</v>
      </c>
      <c r="J136" s="1">
        <f t="shared" si="63"/>
        <v>0.77140078571241921</v>
      </c>
      <c r="K136" s="1">
        <f t="shared" si="64"/>
        <v>-2.3837209302313405E-2</v>
      </c>
      <c r="L136" s="1">
        <f t="shared" si="65"/>
        <v>0.50950877012852835</v>
      </c>
      <c r="O136" s="1">
        <f t="shared" si="69"/>
        <v>0.22859921428758079</v>
      </c>
      <c r="P136" s="1">
        <f t="shared" si="70"/>
        <v>0.50950877012852835</v>
      </c>
      <c r="Q136" s="1">
        <f t="shared" si="74"/>
        <v>0.22859921428758079</v>
      </c>
    </row>
    <row r="137" spans="1:17" x14ac:dyDescent="0.25">
      <c r="A137">
        <f t="shared" si="73"/>
        <v>18.374999999999879</v>
      </c>
      <c r="B137">
        <f t="shared" si="71"/>
        <v>1.4699326018951612E-2</v>
      </c>
      <c r="C137">
        <f t="shared" si="72"/>
        <v>2.459048647097866E-4</v>
      </c>
      <c r="H137">
        <f t="shared" ref="H137:H166" si="75">H136+0.05</f>
        <v>24.750000000000021</v>
      </c>
      <c r="I137" s="1">
        <f t="shared" si="62"/>
        <v>0.76722090261283604</v>
      </c>
      <c r="J137" s="1">
        <f t="shared" si="63"/>
        <v>0.77852490645685746</v>
      </c>
      <c r="K137" s="1">
        <f t="shared" si="64"/>
        <v>5.2325581395474751E-3</v>
      </c>
      <c r="L137" s="1">
        <f t="shared" si="65"/>
        <v>0.49791252084922677</v>
      </c>
      <c r="O137" s="1">
        <f t="shared" ref="O137:O200" si="76">1-J137</f>
        <v>0.22147509354314254</v>
      </c>
      <c r="P137" s="1">
        <f t="shared" ref="P137:P200" si="77">L137</f>
        <v>0.49791252084922677</v>
      </c>
      <c r="Q137" s="1">
        <f t="shared" si="74"/>
        <v>0.22147509354314254</v>
      </c>
    </row>
    <row r="138" spans="1:17" x14ac:dyDescent="0.25">
      <c r="A138">
        <f t="shared" si="73"/>
        <v>18.399999999999878</v>
      </c>
      <c r="B138">
        <f t="shared" si="71"/>
        <v>1.5098376278932239E-2</v>
      </c>
      <c r="C138">
        <f t="shared" si="72"/>
        <v>2.5946843869523943E-4</v>
      </c>
      <c r="H138">
        <f t="shared" si="75"/>
        <v>24.800000000000022</v>
      </c>
      <c r="I138" s="1">
        <f t="shared" si="62"/>
        <v>0.79097387173397649</v>
      </c>
      <c r="J138" s="1">
        <f t="shared" si="63"/>
        <v>0.78552038065369534</v>
      </c>
      <c r="K138" s="1">
        <f t="shared" si="64"/>
        <v>3.4302325581408354E-2</v>
      </c>
      <c r="L138" s="1">
        <f t="shared" si="65"/>
        <v>0.48631803520834671</v>
      </c>
      <c r="O138" s="1">
        <f t="shared" si="76"/>
        <v>0.21447961934630466</v>
      </c>
      <c r="P138" s="1">
        <f t="shared" si="77"/>
        <v>0.48631803520834671</v>
      </c>
      <c r="Q138" s="1">
        <f t="shared" si="74"/>
        <v>0.21447961934630466</v>
      </c>
    </row>
    <row r="139" spans="1:17" x14ac:dyDescent="0.25">
      <c r="A139">
        <f t="shared" si="73"/>
        <v>18.424999999999876</v>
      </c>
      <c r="B139">
        <f t="shared" si="71"/>
        <v>1.5506072464668074E-2</v>
      </c>
      <c r="C139">
        <f t="shared" si="72"/>
        <v>2.7372231626338571E-4</v>
      </c>
      <c r="H139">
        <f t="shared" si="75"/>
        <v>24.850000000000023</v>
      </c>
      <c r="I139" s="1">
        <f t="shared" si="62"/>
        <v>0.81472684085511693</v>
      </c>
      <c r="J139" s="1">
        <f t="shared" si="63"/>
        <v>0.792385657063438</v>
      </c>
      <c r="K139" s="1">
        <f t="shared" si="64"/>
        <v>6.3372093023269238E-2</v>
      </c>
      <c r="L139" s="1">
        <f t="shared" si="65"/>
        <v>0.47473510455624757</v>
      </c>
      <c r="O139" s="1">
        <f t="shared" si="76"/>
        <v>0.207614342936562</v>
      </c>
      <c r="P139" s="1">
        <f t="shared" si="77"/>
        <v>0.47473510455624757</v>
      </c>
      <c r="Q139" s="1">
        <f t="shared" si="74"/>
        <v>0.207614342936562</v>
      </c>
    </row>
    <row r="140" spans="1:17" x14ac:dyDescent="0.25">
      <c r="A140">
        <f t="shared" si="73"/>
        <v>18.449999999999875</v>
      </c>
      <c r="B140">
        <f t="shared" si="71"/>
        <v>1.5922531482667479E-2</v>
      </c>
      <c r="C140">
        <f t="shared" si="72"/>
        <v>2.8869823178320292E-4</v>
      </c>
      <c r="H140">
        <f t="shared" si="75"/>
        <v>24.900000000000023</v>
      </c>
      <c r="I140" s="1">
        <f t="shared" si="62"/>
        <v>0.83847980997625748</v>
      </c>
      <c r="J140" s="1">
        <f t="shared" si="63"/>
        <v>0.79911935881885421</v>
      </c>
      <c r="K140" s="1">
        <f t="shared" si="64"/>
        <v>9.2441860465130116E-2</v>
      </c>
      <c r="L140" s="1">
        <f t="shared" si="65"/>
        <v>0.46317349097552352</v>
      </c>
      <c r="O140" s="1">
        <f t="shared" si="76"/>
        <v>0.20088064118114579</v>
      </c>
      <c r="P140" s="1">
        <f t="shared" si="77"/>
        <v>0.46317349097552352</v>
      </c>
      <c r="Q140" s="1">
        <f t="shared" si="74"/>
        <v>0.20088064118114579</v>
      </c>
    </row>
    <row r="141" spans="1:17" x14ac:dyDescent="0.25">
      <c r="A141">
        <f t="shared" si="73"/>
        <v>18.474999999999874</v>
      </c>
      <c r="B141">
        <f t="shared" si="71"/>
        <v>1.634786963023218E-2</v>
      </c>
      <c r="C141">
        <f t="shared" si="72"/>
        <v>3.0442918932483158E-4</v>
      </c>
      <c r="H141">
        <f t="shared" si="75"/>
        <v>24.950000000000024</v>
      </c>
      <c r="I141" s="1">
        <f t="shared" si="62"/>
        <v>0.86223277909739793</v>
      </c>
      <c r="J141" s="1">
        <f t="shared" si="63"/>
        <v>0.80572028243935956</v>
      </c>
      <c r="K141" s="1">
        <f t="shared" si="64"/>
        <v>0.12151162790699099</v>
      </c>
      <c r="L141" s="1">
        <f t="shared" si="65"/>
        <v>0.45164290260561113</v>
      </c>
      <c r="O141" s="1">
        <f t="shared" si="76"/>
        <v>0.19427971756064044</v>
      </c>
      <c r="P141" s="1">
        <f t="shared" si="77"/>
        <v>0.45164290260561113</v>
      </c>
      <c r="Q141" s="1">
        <f t="shared" si="74"/>
        <v>0.19427971756064044</v>
      </c>
    </row>
    <row r="142" spans="1:17" x14ac:dyDescent="0.25">
      <c r="A142">
        <f t="shared" si="73"/>
        <v>18.499999999999872</v>
      </c>
      <c r="B142">
        <f t="shared" si="71"/>
        <v>1.6782202512610638E-2</v>
      </c>
      <c r="C142">
        <f t="shared" si="72"/>
        <v>3.2094950348079873E-4</v>
      </c>
      <c r="H142">
        <f t="shared" si="75"/>
        <v>25.000000000000025</v>
      </c>
      <c r="I142" s="1">
        <f t="shared" si="62"/>
        <v>0.88598574821853837</v>
      </c>
      <c r="J142" s="1">
        <f t="shared" si="63"/>
        <v>0.81218739647692573</v>
      </c>
      <c r="K142" s="1">
        <f t="shared" si="64"/>
        <v>0.15058139534885187</v>
      </c>
      <c r="L142" s="1">
        <f t="shared" si="65"/>
        <v>0.44015296919483771</v>
      </c>
      <c r="O142" s="1">
        <f t="shared" si="76"/>
        <v>0.18781260352307427</v>
      </c>
      <c r="P142" s="1">
        <f t="shared" si="77"/>
        <v>0.44015296919483771</v>
      </c>
      <c r="Q142" s="1">
        <f t="shared" si="74"/>
        <v>0.18781260352307427</v>
      </c>
    </row>
    <row r="143" spans="1:17" x14ac:dyDescent="0.25">
      <c r="A143">
        <f t="shared" si="73"/>
        <v>18.524999999999871</v>
      </c>
      <c r="B143">
        <f t="shared" si="71"/>
        <v>1.7225644958426888E-2</v>
      </c>
      <c r="C143">
        <f t="shared" si="72"/>
        <v>3.3829484099441094E-4</v>
      </c>
      <c r="H143">
        <f t="shared" si="75"/>
        <v>25.050000000000026</v>
      </c>
      <c r="I143" s="1">
        <f t="shared" si="62"/>
        <v>0.90973871733967893</v>
      </c>
      <c r="J143" s="1">
        <f t="shared" si="63"/>
        <v>0.81851983980446175</v>
      </c>
      <c r="K143" s="1">
        <f t="shared" si="64"/>
        <v>0.17965116279071275</v>
      </c>
      <c r="L143" s="1">
        <f t="shared" si="65"/>
        <v>0.42871321798249329</v>
      </c>
      <c r="O143" s="1">
        <f t="shared" si="76"/>
        <v>0.18148016019553825</v>
      </c>
      <c r="P143" s="1">
        <f t="shared" si="77"/>
        <v>0.42871321798249329</v>
      </c>
      <c r="Q143" s="1">
        <f t="shared" si="74"/>
        <v>0.18148016019553825</v>
      </c>
    </row>
    <row r="144" spans="1:17" x14ac:dyDescent="0.25">
      <c r="A144">
        <f t="shared" si="73"/>
        <v>18.549999999999869</v>
      </c>
      <c r="B144">
        <f t="shared" si="71"/>
        <v>1.7678310933411427E-2</v>
      </c>
      <c r="C144">
        <f t="shared" si="72"/>
        <v>3.5650226318510101E-4</v>
      </c>
      <c r="H144">
        <f t="shared" si="75"/>
        <v>25.100000000000026</v>
      </c>
      <c r="I144" s="1">
        <f t="shared" si="62"/>
        <v>0.93349168646081937</v>
      </c>
      <c r="J144" s="1">
        <f t="shared" si="63"/>
        <v>0.82471691955858861</v>
      </c>
      <c r="K144" s="1">
        <f t="shared" si="64"/>
        <v>0.20872093023257363</v>
      </c>
      <c r="L144" s="1">
        <f t="shared" si="65"/>
        <v>0.41733305001156162</v>
      </c>
      <c r="O144" s="1">
        <f t="shared" si="76"/>
        <v>0.17528308044141139</v>
      </c>
      <c r="P144" s="1">
        <f t="shared" si="77"/>
        <v>0.41733305001156162</v>
      </c>
      <c r="Q144" s="1">
        <f t="shared" si="74"/>
        <v>0.17528308044141139</v>
      </c>
    </row>
    <row r="145" spans="1:17" x14ac:dyDescent="0.25">
      <c r="A145">
        <f t="shared" si="73"/>
        <v>18.574999999999868</v>
      </c>
      <c r="B145">
        <f t="shared" si="71"/>
        <v>1.8140313452462968E-2</v>
      </c>
      <c r="C145">
        <f t="shared" si="72"/>
        <v>3.7561026915877374E-4</v>
      </c>
      <c r="H145">
        <f t="shared" si="75"/>
        <v>25.150000000000027</v>
      </c>
      <c r="I145" s="1">
        <f t="shared" si="62"/>
        <v>0.95724465558195981</v>
      </c>
      <c r="J145" s="1">
        <f t="shared" si="63"/>
        <v>0.83077810874965063</v>
      </c>
      <c r="K145" s="1">
        <f t="shared" si="64"/>
        <v>0.2377906976744345</v>
      </c>
      <c r="L145" s="1">
        <f t="shared" si="65"/>
        <v>0.40602171697021416</v>
      </c>
      <c r="O145" s="1">
        <f t="shared" si="76"/>
        <v>0.16922189125034937</v>
      </c>
      <c r="P145" s="1">
        <f t="shared" si="77"/>
        <v>0.40602171697021416</v>
      </c>
      <c r="Q145" s="1">
        <f t="shared" si="74"/>
        <v>0.16922189125034937</v>
      </c>
    </row>
    <row r="146" spans="1:17" x14ac:dyDescent="0.25">
      <c r="A146">
        <f t="shared" si="73"/>
        <v>18.599999999999866</v>
      </c>
      <c r="B146">
        <f t="shared" si="71"/>
        <v>1.8611764490072454E-2</v>
      </c>
      <c r="C146">
        <f t="shared" si="72"/>
        <v>3.9565883978933016E-4</v>
      </c>
      <c r="H146">
        <f t="shared" si="75"/>
        <v>25.200000000000028</v>
      </c>
      <c r="I146" s="1">
        <f t="shared" si="62"/>
        <v>0.98099762470310037</v>
      </c>
      <c r="J146" s="1">
        <f t="shared" si="63"/>
        <v>0.83670304355264813</v>
      </c>
      <c r="K146" s="1">
        <f t="shared" si="64"/>
        <v>0.26686046511629541</v>
      </c>
      <c r="L146" s="1">
        <f t="shared" si="65"/>
        <v>0.39478829865706933</v>
      </c>
      <c r="O146" s="1">
        <f t="shared" si="76"/>
        <v>0.16329695644735187</v>
      </c>
      <c r="P146" s="1">
        <f t="shared" si="77"/>
        <v>0.39478829865706933</v>
      </c>
      <c r="Q146" s="1">
        <f t="shared" si="74"/>
        <v>0.16329695644735187</v>
      </c>
    </row>
    <row r="147" spans="1:17" x14ac:dyDescent="0.25">
      <c r="A147">
        <f t="shared" si="73"/>
        <v>18.624999999999865</v>
      </c>
      <c r="B147">
        <f t="shared" si="71"/>
        <v>1.9092774889142808E-2</v>
      </c>
      <c r="C147">
        <f t="shared" si="72"/>
        <v>4.1668948245565776E-4</v>
      </c>
      <c r="H147">
        <f t="shared" si="75"/>
        <v>25.250000000000028</v>
      </c>
      <c r="I147" s="1">
        <f t="shared" si="62"/>
        <v>1.0047505938242407</v>
      </c>
      <c r="J147" s="1">
        <f t="shared" si="63"/>
        <v>0.8424915202935539</v>
      </c>
      <c r="K147" s="1">
        <f t="shared" si="64"/>
        <v>0.29593023255815626</v>
      </c>
      <c r="L147" s="1">
        <f t="shared" si="65"/>
        <v>0.38364168116157549</v>
      </c>
      <c r="O147" s="1">
        <f t="shared" si="76"/>
        <v>0.1575084797064461</v>
      </c>
      <c r="P147" s="1">
        <f t="shared" si="77"/>
        <v>0.38364168116157549</v>
      </c>
      <c r="Q147" s="1">
        <f t="shared" si="74"/>
        <v>0.1575084797064461</v>
      </c>
    </row>
    <row r="148" spans="1:17" x14ac:dyDescent="0.25">
      <c r="A148">
        <f t="shared" si="73"/>
        <v>18.649999999999864</v>
      </c>
      <c r="B148">
        <f t="shared" si="71"/>
        <v>1.9583454268241016E-2</v>
      </c>
      <c r="C148">
        <f t="shared" si="72"/>
        <v>4.3874527651637489E-4</v>
      </c>
      <c r="H148">
        <f t="shared" si="75"/>
        <v>25.300000000000029</v>
      </c>
      <c r="I148" s="1">
        <f t="shared" si="62"/>
        <v>1.0285035629453814</v>
      </c>
      <c r="J148" s="1">
        <f t="shared" si="63"/>
        <v>0.8481434921461789</v>
      </c>
      <c r="K148" s="1">
        <f t="shared" si="64"/>
        <v>0.32500000000001716</v>
      </c>
      <c r="L148" s="1">
        <f t="shared" si="65"/>
        <v>0.37259053584670943</v>
      </c>
      <c r="O148" s="1">
        <f t="shared" si="76"/>
        <v>0.1518565078538211</v>
      </c>
      <c r="P148" s="1">
        <f t="shared" si="77"/>
        <v>0.37259053584670943</v>
      </c>
      <c r="Q148" s="1">
        <f t="shared" si="74"/>
        <v>0.1518565078538211</v>
      </c>
    </row>
    <row r="149" spans="1:17" x14ac:dyDescent="0.25">
      <c r="A149">
        <f t="shared" si="73"/>
        <v>18.674999999999862</v>
      </c>
      <c r="B149">
        <f t="shared" si="71"/>
        <v>2.0083910927321039E-2</v>
      </c>
      <c r="C149">
        <f t="shared" si="72"/>
        <v>4.6187091950253484E-4</v>
      </c>
      <c r="H149">
        <f t="shared" si="75"/>
        <v>25.35000000000003</v>
      </c>
      <c r="I149" s="1">
        <f t="shared" si="62"/>
        <v>1.0522565320665218</v>
      </c>
      <c r="J149" s="1">
        <f t="shared" si="63"/>
        <v>0.85365906555537729</v>
      </c>
      <c r="K149" s="1">
        <f t="shared" si="64"/>
        <v>0.35406976744187801</v>
      </c>
      <c r="L149" s="1">
        <f t="shared" si="65"/>
        <v>0.36164329921653415</v>
      </c>
      <c r="O149" s="1">
        <f t="shared" si="76"/>
        <v>0.14634093444462271</v>
      </c>
      <c r="P149" s="1">
        <f t="shared" si="77"/>
        <v>0.36164329921653415</v>
      </c>
      <c r="Q149" s="1">
        <f t="shared" si="74"/>
        <v>0.14634093444462271</v>
      </c>
    </row>
    <row r="150" spans="1:17" x14ac:dyDescent="0.25">
      <c r="A150">
        <f t="shared" si="73"/>
        <v>18.699999999999861</v>
      </c>
      <c r="B150">
        <f t="shared" si="71"/>
        <v>2.0594251751958892E-2</v>
      </c>
      <c r="C150">
        <f t="shared" si="72"/>
        <v>4.8611277400638624E-4</v>
      </c>
      <c r="H150">
        <f t="shared" si="75"/>
        <v>25.400000000000031</v>
      </c>
      <c r="I150" s="1">
        <f t="shared" si="62"/>
        <v>1.0760095011876623</v>
      </c>
      <c r="J150" s="1">
        <f t="shared" si="63"/>
        <v>0.85903849640293606</v>
      </c>
      <c r="K150" s="1">
        <f t="shared" si="64"/>
        <v>0.38313953488373892</v>
      </c>
      <c r="L150" s="1">
        <f t="shared" si="65"/>
        <v>0.35080815374605656</v>
      </c>
      <c r="O150" s="1">
        <f t="shared" si="76"/>
        <v>0.14096150359706394</v>
      </c>
      <c r="P150" s="1">
        <f t="shared" si="77"/>
        <v>0.35080815374605656</v>
      </c>
      <c r="Q150" s="1">
        <f t="shared" si="74"/>
        <v>0.14096150359706394</v>
      </c>
    </row>
    <row r="151" spans="1:17" x14ac:dyDescent="0.25">
      <c r="A151">
        <f t="shared" si="73"/>
        <v>18.724999999999859</v>
      </c>
      <c r="B151">
        <f t="shared" si="71"/>
        <v>2.111458211614383E-2</v>
      </c>
      <c r="C151">
        <f t="shared" si="72"/>
        <v>5.1151891524203253E-4</v>
      </c>
      <c r="H151">
        <f t="shared" si="75"/>
        <v>25.450000000000031</v>
      </c>
      <c r="I151" s="1">
        <f t="shared" si="62"/>
        <v>1.0997624703088027</v>
      </c>
      <c r="J151" s="1">
        <f t="shared" si="63"/>
        <v>0.86428218593296469</v>
      </c>
      <c r="K151" s="1">
        <f t="shared" si="64"/>
        <v>0.41220930232559977</v>
      </c>
      <c r="L151" s="1">
        <f t="shared" si="65"/>
        <v>0.34009300974530965</v>
      </c>
      <c r="O151" s="1">
        <f t="shared" si="76"/>
        <v>0.13571781406703531</v>
      </c>
      <c r="P151" s="1">
        <f t="shared" si="77"/>
        <v>0.34009300974530965</v>
      </c>
      <c r="Q151" s="1">
        <f t="shared" si="74"/>
        <v>0.13571781406703531</v>
      </c>
    </row>
    <row r="152" spans="1:17" x14ac:dyDescent="0.25">
      <c r="A152">
        <f t="shared" si="73"/>
        <v>18.749999999999858</v>
      </c>
      <c r="B152">
        <f t="shared" si="71"/>
        <v>2.1645005783671928E-2</v>
      </c>
      <c r="C152">
        <f t="shared" si="72"/>
        <v>5.3813917925155834E-4</v>
      </c>
      <c r="H152">
        <f t="shared" si="75"/>
        <v>25.500000000000032</v>
      </c>
      <c r="I152" s="1">
        <f t="shared" si="62"/>
        <v>1.1235154394299431</v>
      </c>
      <c r="J152" s="1">
        <f t="shared" si="63"/>
        <v>0.86939067645400314</v>
      </c>
      <c r="K152" s="1">
        <f t="shared" si="64"/>
        <v>0.44127906976746067</v>
      </c>
      <c r="L152" s="1">
        <f t="shared" si="65"/>
        <v>0.3295054883236922</v>
      </c>
      <c r="O152" s="1">
        <f t="shared" si="76"/>
        <v>0.13060932354599686</v>
      </c>
      <c r="P152" s="1">
        <f t="shared" si="77"/>
        <v>0.3295054883236922</v>
      </c>
      <c r="Q152" s="1">
        <f t="shared" si="74"/>
        <v>0.13060932354599686</v>
      </c>
    </row>
    <row r="153" spans="1:17" x14ac:dyDescent="0.25">
      <c r="A153">
        <f t="shared" si="73"/>
        <v>18.774999999999856</v>
      </c>
      <c r="B153">
        <f t="shared" si="71"/>
        <v>2.2185624808191116E-2</v>
      </c>
      <c r="C153">
        <f t="shared" si="72"/>
        <v>5.6602521172782478E-4</v>
      </c>
      <c r="H153">
        <f t="shared" si="75"/>
        <v>25.550000000000033</v>
      </c>
      <c r="I153" s="1">
        <f t="shared" si="62"/>
        <v>1.1472684085510836</v>
      </c>
      <c r="J153" s="1">
        <f t="shared" si="63"/>
        <v>0.87436464683538462</v>
      </c>
      <c r="K153" s="1">
        <f t="shared" si="64"/>
        <v>0.47034883720932152</v>
      </c>
      <c r="L153" s="1">
        <f t="shared" si="65"/>
        <v>0.31905290551438159</v>
      </c>
      <c r="O153" s="1">
        <f t="shared" si="76"/>
        <v>0.12563535316461538</v>
      </c>
      <c r="P153" s="1">
        <f t="shared" si="77"/>
        <v>0.31905290551438159</v>
      </c>
      <c r="Q153" s="1">
        <f t="shared" si="74"/>
        <v>0.12563535316461538</v>
      </c>
    </row>
    <row r="154" spans="1:17" x14ac:dyDescent="0.25">
      <c r="A154">
        <f t="shared" si="73"/>
        <v>18.799999999999855</v>
      </c>
      <c r="B154">
        <f t="shared" si="71"/>
        <v>2.2736539431949102E-2</v>
      </c>
      <c r="C154">
        <f t="shared" si="72"/>
        <v>5.9523051742266741E-4</v>
      </c>
      <c r="H154">
        <f t="shared" si="75"/>
        <v>25.600000000000033</v>
      </c>
      <c r="I154" s="1">
        <f t="shared" si="62"/>
        <v>1.1710213776722243</v>
      </c>
      <c r="J154" s="1">
        <f t="shared" si="63"/>
        <v>0.87920490781563509</v>
      </c>
      <c r="K154" s="1">
        <f t="shared" si="64"/>
        <v>0.49941860465118243</v>
      </c>
      <c r="L154" s="1">
        <f t="shared" si="65"/>
        <v>0.30874225761212559</v>
      </c>
      <c r="O154" s="1">
        <f t="shared" si="76"/>
        <v>0.12079509218436491</v>
      </c>
      <c r="P154" s="1">
        <f t="shared" si="77"/>
        <v>0.30874225761212559</v>
      </c>
      <c r="Q154" s="1">
        <f t="shared" si="74"/>
        <v>0.12079509218436491</v>
      </c>
    </row>
    <row r="155" spans="1:17" x14ac:dyDescent="0.25">
      <c r="A155">
        <f t="shared" si="73"/>
        <v>18.824999999999854</v>
      </c>
      <c r="B155">
        <f t="shared" si="71"/>
        <v>2.329784798329864E-2</v>
      </c>
      <c r="C155">
        <f t="shared" si="72"/>
        <v>6.2581051010675022E-4</v>
      </c>
      <c r="H155">
        <f t="shared" si="75"/>
        <v>25.650000000000034</v>
      </c>
      <c r="I155" s="1">
        <f t="shared" si="62"/>
        <v>1.1947743467933647</v>
      </c>
      <c r="J155" s="1">
        <f t="shared" si="63"/>
        <v>0.88391239714086045</v>
      </c>
      <c r="K155" s="1">
        <f t="shared" si="64"/>
        <v>0.52848837209304333</v>
      </c>
      <c r="L155" s="1">
        <f t="shared" si="65"/>
        <v>0.2985802077709796</v>
      </c>
      <c r="O155" s="1">
        <f t="shared" si="76"/>
        <v>0.11608760285913955</v>
      </c>
      <c r="P155" s="1">
        <f t="shared" si="77"/>
        <v>0.2985802077709796</v>
      </c>
      <c r="Q155" s="1">
        <f t="shared" si="74"/>
        <v>0.11608760285913955</v>
      </c>
    </row>
    <row r="156" spans="1:17" x14ac:dyDescent="0.25">
      <c r="A156">
        <f t="shared" si="73"/>
        <v>18.849999999999852</v>
      </c>
      <c r="B156">
        <f t="shared" si="71"/>
        <v>2.3869646773016527E-2</v>
      </c>
      <c r="C156">
        <f t="shared" si="72"/>
        <v>6.578225630446946E-4</v>
      </c>
      <c r="H156">
        <f t="shared" si="75"/>
        <v>25.700000000000035</v>
      </c>
      <c r="I156" s="1">
        <f t="shared" si="62"/>
        <v>1.2185273159145051</v>
      </c>
      <c r="J156" s="1">
        <f t="shared" si="63"/>
        <v>0.88848817455116946</v>
      </c>
      <c r="K156" s="1">
        <f t="shared" si="64"/>
        <v>0.55755813953490418</v>
      </c>
      <c r="L156" s="1">
        <f t="shared" si="65"/>
        <v>0.28857307390161635</v>
      </c>
      <c r="O156" s="1">
        <f t="shared" si="76"/>
        <v>0.11151182544883054</v>
      </c>
      <c r="P156" s="1">
        <f t="shared" si="77"/>
        <v>0.28857307390161635</v>
      </c>
      <c r="Q156" s="1">
        <f t="shared" si="74"/>
        <v>0.11151182544883054</v>
      </c>
    </row>
    <row r="157" spans="1:17" x14ac:dyDescent="0.25">
      <c r="A157">
        <f t="shared" si="73"/>
        <v>18.874999999999851</v>
      </c>
      <c r="B157">
        <f t="shared" si="71"/>
        <v>2.4452029989496075E-2</v>
      </c>
      <c r="C157">
        <f t="shared" si="72"/>
        <v>6.9132605994649387E-4</v>
      </c>
      <c r="H157">
        <f t="shared" si="75"/>
        <v>25.750000000000036</v>
      </c>
      <c r="I157" s="1">
        <f t="shared" si="62"/>
        <v>1.2422802850356456</v>
      </c>
      <c r="J157" s="1">
        <f t="shared" si="63"/>
        <v>0.89293341663319825</v>
      </c>
      <c r="K157" s="1">
        <f t="shared" si="64"/>
        <v>0.58662790697676503</v>
      </c>
      <c r="L157" s="1">
        <f t="shared" si="65"/>
        <v>0.27872681790076381</v>
      </c>
      <c r="O157" s="1">
        <f t="shared" si="76"/>
        <v>0.10706658336680175</v>
      </c>
      <c r="P157" s="1">
        <f t="shared" si="77"/>
        <v>0.27872681790076381</v>
      </c>
      <c r="Q157" s="1">
        <f t="shared" si="74"/>
        <v>0.10706658336680175</v>
      </c>
    </row>
    <row r="158" spans="1:17" x14ac:dyDescent="0.25">
      <c r="A158">
        <f t="shared" si="73"/>
        <v>18.899999999999849</v>
      </c>
      <c r="B158">
        <f t="shared" si="71"/>
        <v>2.5045089592874766E-2</v>
      </c>
      <c r="C158">
        <f t="shared" si="72"/>
        <v>7.2638244635343211E-4</v>
      </c>
      <c r="H158">
        <f t="shared" si="75"/>
        <v>25.800000000000036</v>
      </c>
      <c r="I158" s="1">
        <f t="shared" si="62"/>
        <v>1.266033254156786</v>
      </c>
      <c r="J158" s="1">
        <f t="shared" si="63"/>
        <v>0.89724941155675875</v>
      </c>
      <c r="K158" s="1">
        <f t="shared" si="64"/>
        <v>0.61569767441862588</v>
      </c>
      <c r="L158" s="1">
        <f t="shared" si="65"/>
        <v>0.2690470362381544</v>
      </c>
      <c r="O158" s="1">
        <f t="shared" si="76"/>
        <v>0.10275058844324125</v>
      </c>
      <c r="P158" s="1">
        <f t="shared" si="77"/>
        <v>0.2690470362381544</v>
      </c>
      <c r="Q158" s="1">
        <f t="shared" si="74"/>
        <v>0.10275058844324125</v>
      </c>
    </row>
    <row r="159" spans="1:17" x14ac:dyDescent="0.25">
      <c r="A159">
        <f t="shared" si="73"/>
        <v>18.924999999999848</v>
      </c>
      <c r="B159">
        <f t="shared" si="71"/>
        <v>2.5648915208161611E-2</v>
      </c>
      <c r="C159">
        <f t="shared" si="72"/>
        <v>7.630552814139901E-4</v>
      </c>
      <c r="H159">
        <f t="shared" si="75"/>
        <v>25.850000000000037</v>
      </c>
      <c r="I159" s="1">
        <f t="shared" si="62"/>
        <v>1.2897862232779265</v>
      </c>
      <c r="J159" s="1">
        <f t="shared" si="63"/>
        <v>0.90143755371351186</v>
      </c>
      <c r="K159" s="1">
        <f t="shared" si="64"/>
        <v>0.64476744186048685</v>
      </c>
      <c r="L159" s="1">
        <f t="shared" si="65"/>
        <v>0.25953895191916387</v>
      </c>
      <c r="O159" s="1">
        <f t="shared" si="76"/>
        <v>9.8562446286488137E-2</v>
      </c>
      <c r="P159" s="1">
        <f t="shared" si="77"/>
        <v>0.25953895191916387</v>
      </c>
      <c r="Q159" s="1">
        <f t="shared" si="74"/>
        <v>9.8562446286488137E-2</v>
      </c>
    </row>
    <row r="160" spans="1:17" x14ac:dyDescent="0.25">
      <c r="A160">
        <f t="shared" si="73"/>
        <v>18.949999999999847</v>
      </c>
      <c r="B160">
        <f t="shared" si="71"/>
        <v>2.6263594017431686E-2</v>
      </c>
      <c r="C160">
        <f t="shared" si="72"/>
        <v>8.0141029000230604E-4</v>
      </c>
      <c r="H160">
        <f t="shared" si="75"/>
        <v>25.900000000000038</v>
      </c>
      <c r="I160" s="1">
        <f t="shared" si="62"/>
        <v>1.3135391923990671</v>
      </c>
      <c r="J160" s="1">
        <f t="shared" si="63"/>
        <v>0.90549933827538343</v>
      </c>
      <c r="K160" s="1">
        <f t="shared" si="64"/>
        <v>0.67383720930234769</v>
      </c>
      <c r="L160" s="1">
        <f t="shared" si="65"/>
        <v>0.25020740783410844</v>
      </c>
      <c r="O160" s="1">
        <f t="shared" si="76"/>
        <v>9.4500661724616575E-2</v>
      </c>
      <c r="P160" s="1">
        <f t="shared" si="77"/>
        <v>0.25020740783410844</v>
      </c>
      <c r="Q160" s="1">
        <f t="shared" si="74"/>
        <v>9.4500661724616575E-2</v>
      </c>
    </row>
    <row r="161" spans="1:17" x14ac:dyDescent="0.25">
      <c r="A161">
        <f t="shared" si="73"/>
        <v>18.974999999999845</v>
      </c>
      <c r="B161">
        <f t="shared" si="71"/>
        <v>2.6889210651157125E-2</v>
      </c>
      <c r="C161">
        <f t="shared" si="72"/>
        <v>8.4151541512885255E-4</v>
      </c>
      <c r="H161">
        <f t="shared" si="75"/>
        <v>25.950000000000038</v>
      </c>
      <c r="I161" s="1">
        <f t="shared" si="62"/>
        <v>1.3372921615202076</v>
      </c>
      <c r="J161" s="1">
        <f t="shared" si="63"/>
        <v>0.90943635569019521</v>
      </c>
      <c r="K161" s="1">
        <f t="shared" si="64"/>
        <v>0.70290697674420854</v>
      </c>
      <c r="L161" s="1">
        <f t="shared" si="65"/>
        <v>0.24105686149802108</v>
      </c>
      <c r="O161" s="1">
        <f t="shared" si="76"/>
        <v>9.0563644309804792E-2</v>
      </c>
      <c r="P161" s="1">
        <f t="shared" si="77"/>
        <v>0.24105686149802108</v>
      </c>
      <c r="Q161" s="1">
        <f t="shared" si="74"/>
        <v>9.0563644309804792E-2</v>
      </c>
    </row>
    <row r="162" spans="1:17" x14ac:dyDescent="0.25">
      <c r="A162">
        <f t="shared" si="73"/>
        <v>18.999999999999844</v>
      </c>
      <c r="B162">
        <f t="shared" si="71"/>
        <v>2.7525847078747001E-2</v>
      </c>
      <c r="C162">
        <f t="shared" si="72"/>
        <v>8.8344087059001727E-4</v>
      </c>
      <c r="H162">
        <f t="shared" si="75"/>
        <v>26.000000000000039</v>
      </c>
      <c r="I162" s="1">
        <f t="shared" si="62"/>
        <v>1.361045130641348</v>
      </c>
      <c r="J162" s="1">
        <f t="shared" si="63"/>
        <v>0.91325028613167203</v>
      </c>
      <c r="K162" s="1">
        <f t="shared" si="64"/>
        <v>0.73197674418606939</v>
      </c>
      <c r="L162" s="1">
        <f t="shared" si="65"/>
        <v>0.23209138117768224</v>
      </c>
      <c r="O162" s="1">
        <f t="shared" si="76"/>
        <v>8.6749713868327971E-2</v>
      </c>
      <c r="P162" s="1">
        <f t="shared" si="77"/>
        <v>0.23209138117768224</v>
      </c>
      <c r="Q162" s="1">
        <f t="shared" si="74"/>
        <v>8.6749713868327971E-2</v>
      </c>
    </row>
    <row r="163" spans="1:17" x14ac:dyDescent="0.25">
      <c r="A163">
        <f t="shared" si="73"/>
        <v>19.024999999999842</v>
      </c>
      <c r="B163">
        <f t="shared" si="71"/>
        <v>2.8173582498370934E-2</v>
      </c>
      <c r="C163">
        <f t="shared" si="72"/>
        <v>9.2725919380017528E-4</v>
      </c>
      <c r="H163">
        <f t="shared" si="75"/>
        <v>26.05000000000004</v>
      </c>
      <c r="I163" s="1">
        <f t="shared" si="62"/>
        <v>1.3847980997624885</v>
      </c>
      <c r="J163" s="1">
        <f t="shared" si="63"/>
        <v>0.91694289392062411</v>
      </c>
      <c r="K163" s="1">
        <f t="shared" si="64"/>
        <v>0.76104651162793036</v>
      </c>
      <c r="L163" s="1">
        <f t="shared" si="65"/>
        <v>0.223314643395774</v>
      </c>
      <c r="O163" s="1">
        <f t="shared" si="76"/>
        <v>8.3057106079375886E-2</v>
      </c>
      <c r="P163" s="1">
        <f t="shared" si="77"/>
        <v>0.223314643395774</v>
      </c>
      <c r="Q163" s="1">
        <f t="shared" si="74"/>
        <v>8.3057106079375886E-2</v>
      </c>
    </row>
    <row r="164" spans="1:17" x14ac:dyDescent="0.25">
      <c r="A164">
        <f t="shared" si="73"/>
        <v>19.049999999999841</v>
      </c>
      <c r="B164">
        <f t="shared" si="71"/>
        <v>2.8832493226143622E-2</v>
      </c>
      <c r="C164">
        <f t="shared" si="72"/>
        <v>9.730452987468046E-4</v>
      </c>
      <c r="H164">
        <f t="shared" si="75"/>
        <v>26.100000000000041</v>
      </c>
      <c r="I164" s="1">
        <f t="shared" si="62"/>
        <v>1.4085510688836289</v>
      </c>
      <c r="J164" s="1">
        <f t="shared" si="63"/>
        <v>0.92051602193367887</v>
      </c>
      <c r="K164" s="1">
        <f t="shared" si="64"/>
        <v>0.79011627906979121</v>
      </c>
      <c r="L164" s="1">
        <f t="shared" si="65"/>
        <v>0.21472993179531852</v>
      </c>
      <c r="O164" s="1">
        <f t="shared" si="76"/>
        <v>7.9483978066321126E-2</v>
      </c>
      <c r="P164" s="1">
        <f t="shared" si="77"/>
        <v>0.21472993179531852</v>
      </c>
      <c r="Q164" s="1">
        <f t="shared" si="74"/>
        <v>7.9483978066321126E-2</v>
      </c>
    </row>
    <row r="165" spans="1:17" x14ac:dyDescent="0.25">
      <c r="A165">
        <f t="shared" si="73"/>
        <v>19.074999999999839</v>
      </c>
      <c r="B165">
        <f t="shared" si="71"/>
        <v>2.9502652584749923E-2</v>
      </c>
      <c r="C165">
        <f t="shared" si="72"/>
        <v>1.020876529005997E-3</v>
      </c>
      <c r="H165">
        <f t="shared" si="75"/>
        <v>26.150000000000041</v>
      </c>
      <c r="I165" s="1">
        <f t="shared" si="62"/>
        <v>1.4323040380047694</v>
      </c>
      <c r="J165" s="1">
        <f t="shared" si="63"/>
        <v>0.92397158601547258</v>
      </c>
      <c r="K165" s="1">
        <f t="shared" si="64"/>
        <v>0.81918604651165206</v>
      </c>
      <c r="L165" s="1">
        <f t="shared" si="65"/>
        <v>0.20634013734107981</v>
      </c>
      <c r="O165" s="1">
        <f t="shared" si="76"/>
        <v>7.6028413984527421E-2</v>
      </c>
      <c r="P165" s="1">
        <f t="shared" si="77"/>
        <v>0.20634013734107981</v>
      </c>
      <c r="Q165" s="1">
        <f t="shared" si="74"/>
        <v>7.6028413984527421E-2</v>
      </c>
    </row>
    <row r="166" spans="1:17" x14ac:dyDescent="0.25">
      <c r="A166">
        <f t="shared" si="73"/>
        <v>19.099999999999838</v>
      </c>
      <c r="B166">
        <f t="shared" si="71"/>
        <v>3.0184130791592927E-2</v>
      </c>
      <c r="C166">
        <f t="shared" si="72"/>
        <v>1.0708327107524897E-3</v>
      </c>
      <c r="H166">
        <f t="shared" si="75"/>
        <v>26.200000000000042</v>
      </c>
      <c r="I166" s="1">
        <f t="shared" si="62"/>
        <v>1.45605700712591</v>
      </c>
      <c r="J166" s="1">
        <f t="shared" si="63"/>
        <v>0.92731156940968862</v>
      </c>
      <c r="K166" s="1">
        <f t="shared" si="64"/>
        <v>0.8482558139535129</v>
      </c>
      <c r="L166" s="1">
        <f t="shared" si="65"/>
        <v>0.19814775982840127</v>
      </c>
      <c r="O166" s="1">
        <f t="shared" si="76"/>
        <v>7.2688430590311381E-2</v>
      </c>
      <c r="P166" s="1">
        <f t="shared" si="77"/>
        <v>0.19814775982840127</v>
      </c>
      <c r="Q166" s="1">
        <f t="shared" si="74"/>
        <v>7.2688430590311381E-2</v>
      </c>
    </row>
    <row r="167" spans="1:17" x14ac:dyDescent="0.25">
      <c r="A167">
        <f t="shared" si="73"/>
        <v>19.124999999999837</v>
      </c>
      <c r="B167">
        <f t="shared" si="71"/>
        <v>3.087699484654937E-2</v>
      </c>
      <c r="C167">
        <f t="shared" si="72"/>
        <v>1.1229962056951866E-3</v>
      </c>
      <c r="H167">
        <f>H166+0.05</f>
        <v>26.250000000000043</v>
      </c>
      <c r="I167" s="1">
        <f t="shared" si="62"/>
        <v>1.4798099762470505</v>
      </c>
      <c r="J167" s="1">
        <f t="shared" si="63"/>
        <v>0.93053801722377194</v>
      </c>
      <c r="K167" s="1">
        <f t="shared" si="64"/>
        <v>0.87732558139537387</v>
      </c>
      <c r="L167" s="1">
        <f t="shared" si="65"/>
        <v>0.19015491066404244</v>
      </c>
      <c r="O167" s="1">
        <f t="shared" si="76"/>
        <v>6.9461982776228059E-2</v>
      </c>
      <c r="P167" s="1">
        <f t="shared" si="77"/>
        <v>0.19015491066404244</v>
      </c>
      <c r="Q167" s="1">
        <f t="shared" si="74"/>
        <v>6.9461982776228059E-2</v>
      </c>
    </row>
    <row r="168" spans="1:17" x14ac:dyDescent="0.25">
      <c r="A168">
        <f t="shared" si="73"/>
        <v>19.149999999999835</v>
      </c>
      <c r="B168">
        <f t="shared" si="71"/>
        <v>3.1581308419419536E-2</v>
      </c>
      <c r="C168">
        <f t="shared" si="72"/>
        <v>1.1774519638657137E-3</v>
      </c>
      <c r="H168">
        <f t="shared" ref="H168:H188" si="78">H167+0.05</f>
        <v>26.300000000000043</v>
      </c>
      <c r="I168" s="1">
        <f t="shared" si="62"/>
        <v>1.5035629453681909</v>
      </c>
      <c r="J168" s="1">
        <f t="shared" si="63"/>
        <v>0.93365303094154983</v>
      </c>
      <c r="K168" s="1">
        <f t="shared" si="64"/>
        <v>0.90639534883723472</v>
      </c>
      <c r="L168" s="1">
        <f t="shared" si="65"/>
        <v>0.1823633168780161</v>
      </c>
      <c r="O168" s="1">
        <f t="shared" si="76"/>
        <v>6.6346969058450167E-2</v>
      </c>
      <c r="P168" s="1">
        <f t="shared" si="77"/>
        <v>0.1823633168780161</v>
      </c>
      <c r="Q168" s="1">
        <f t="shared" si="74"/>
        <v>6.6346969058450167E-2</v>
      </c>
    </row>
    <row r="169" spans="1:17" x14ac:dyDescent="0.25">
      <c r="A169">
        <f t="shared" si="73"/>
        <v>19.174999999999834</v>
      </c>
      <c r="B169">
        <f t="shared" si="71"/>
        <v>3.2297131737160777E-2</v>
      </c>
      <c r="C169">
        <f t="shared" si="72"/>
        <v>1.2342875761843671E-3</v>
      </c>
      <c r="H169">
        <f t="shared" si="78"/>
        <v>26.350000000000044</v>
      </c>
      <c r="I169" s="1">
        <f t="shared" si="62"/>
        <v>1.5273159144893313</v>
      </c>
      <c r="J169" s="1">
        <f t="shared" si="63"/>
        <v>0.93665876299735185</v>
      </c>
      <c r="K169" s="1">
        <f t="shared" si="64"/>
        <v>0.93546511627909557</v>
      </c>
      <c r="L169" s="1">
        <f t="shared" si="65"/>
        <v>0.17477432632023038</v>
      </c>
      <c r="O169" s="1">
        <f t="shared" si="76"/>
        <v>6.3341237002648154E-2</v>
      </c>
      <c r="P169" s="1">
        <f t="shared" si="77"/>
        <v>0.17477432632023038</v>
      </c>
      <c r="Q169" s="1">
        <f t="shared" si="74"/>
        <v>6.3341237002648154E-2</v>
      </c>
    </row>
    <row r="170" spans="1:17" x14ac:dyDescent="0.25">
      <c r="A170">
        <f t="shared" si="73"/>
        <v>19.199999999999832</v>
      </c>
      <c r="B170">
        <f t="shared" si="71"/>
        <v>3.3024521470996195E-2</v>
      </c>
      <c r="C170">
        <f t="shared" si="72"/>
        <v>1.2935933267243158E-3</v>
      </c>
      <c r="H170">
        <f t="shared" si="78"/>
        <v>26.400000000000045</v>
      </c>
      <c r="I170" s="1">
        <f t="shared" ref="I170:I202" si="79">($H170-I$4)/J$4</f>
        <v>1.5510688836104718</v>
      </c>
      <c r="J170" s="1">
        <f t="shared" ref="J170:J202" si="80">_xlfn.NORM.DIST(I170,0,1,1)</f>
        <v>0.93955741142455707</v>
      </c>
      <c r="K170" s="1">
        <f t="shared" ref="K170:K202" si="81">($H170-K$4)/L$4</f>
        <v>0.96453488372095653</v>
      </c>
      <c r="L170" s="1">
        <f t="shared" ref="L170:L202" si="82">1-_xlfn.NORM.DIST(K170,0,1,1)</f>
        <v>0.16738891399093314</v>
      </c>
      <c r="O170" s="1">
        <f t="shared" si="76"/>
        <v>6.0442588575442935E-2</v>
      </c>
      <c r="P170" s="1">
        <f t="shared" si="77"/>
        <v>0.16738891399093314</v>
      </c>
      <c r="Q170" s="1">
        <f t="shared" si="74"/>
        <v>6.0442588575442935E-2</v>
      </c>
    </row>
    <row r="171" spans="1:17" x14ac:dyDescent="0.25">
      <c r="A171">
        <f t="shared" si="73"/>
        <v>19.224999999999831</v>
      </c>
      <c r="B171">
        <f t="shared" si="71"/>
        <v>3.3763530623492452E-2</v>
      </c>
      <c r="C171">
        <f t="shared" si="72"/>
        <v>1.3554622445916657E-3</v>
      </c>
      <c r="H171">
        <f t="shared" si="78"/>
        <v>26.450000000000045</v>
      </c>
      <c r="I171" s="1">
        <f t="shared" si="79"/>
        <v>1.5748218527316122</v>
      </c>
      <c r="J171" s="1">
        <f t="shared" si="80"/>
        <v>0.94235121459080096</v>
      </c>
      <c r="K171" s="1">
        <f t="shared" si="81"/>
        <v>0.99360465116281738</v>
      </c>
      <c r="L171" s="1">
        <f t="shared" si="82"/>
        <v>0.16020768944957398</v>
      </c>
      <c r="O171" s="1">
        <f t="shared" si="76"/>
        <v>5.7648785409199044E-2</v>
      </c>
      <c r="P171" s="1">
        <f t="shared" si="77"/>
        <v>0.16020768944957398</v>
      </c>
      <c r="Q171" s="1">
        <f t="shared" si="74"/>
        <v>5.7648785409199044E-2</v>
      </c>
    </row>
    <row r="172" spans="1:17" x14ac:dyDescent="0.25">
      <c r="A172">
        <f t="shared" si="73"/>
        <v>19.249999999999829</v>
      </c>
      <c r="B172">
        <f t="shared" si="71"/>
        <v>3.4514208415702331E-2</v>
      </c>
      <c r="C172">
        <f t="shared" si="72"/>
        <v>1.4199901553354829E-3</v>
      </c>
      <c r="H172">
        <f t="shared" si="78"/>
        <v>26.500000000000046</v>
      </c>
      <c r="I172" s="1">
        <f t="shared" si="79"/>
        <v>1.5985748218527529</v>
      </c>
      <c r="J172" s="1">
        <f t="shared" si="80"/>
        <v>0.94504244603136156</v>
      </c>
      <c r="K172" s="1">
        <f t="shared" si="81"/>
        <v>1.0226744186046783</v>
      </c>
      <c r="L172" s="1">
        <f t="shared" si="82"/>
        <v>0.15323090524274297</v>
      </c>
      <c r="O172" s="1">
        <f t="shared" si="76"/>
        <v>5.495755396863844E-2</v>
      </c>
      <c r="P172" s="1">
        <f t="shared" si="77"/>
        <v>0.15323090524274297</v>
      </c>
      <c r="Q172" s="1">
        <f t="shared" si="74"/>
        <v>5.495755396863844E-2</v>
      </c>
    </row>
    <row r="173" spans="1:17" x14ac:dyDescent="0.25">
      <c r="A173">
        <f t="shared" si="73"/>
        <v>19.274999999999828</v>
      </c>
      <c r="B173">
        <f t="shared" si="71"/>
        <v>3.5276600174470416E-2</v>
      </c>
      <c r="C173">
        <f t="shared" si="72"/>
        <v>1.48727573179849E-3</v>
      </c>
      <c r="H173">
        <f t="shared" si="78"/>
        <v>26.550000000000047</v>
      </c>
      <c r="I173" s="1">
        <f t="shared" si="79"/>
        <v>1.6223277909738933</v>
      </c>
      <c r="J173" s="1">
        <f t="shared" si="80"/>
        <v>0.94763340939150176</v>
      </c>
      <c r="K173" s="1">
        <f t="shared" si="81"/>
        <v>1.0517441860465391</v>
      </c>
      <c r="L173" s="1">
        <f t="shared" si="82"/>
        <v>0.14645846628834724</v>
      </c>
      <c r="O173" s="1">
        <f t="shared" si="76"/>
        <v>5.2366590608498242E-2</v>
      </c>
      <c r="P173" s="1">
        <f t="shared" si="77"/>
        <v>0.14645846628834724</v>
      </c>
      <c r="Q173" s="1">
        <f t="shared" si="74"/>
        <v>5.2366590608498242E-2</v>
      </c>
    </row>
    <row r="174" spans="1:17" x14ac:dyDescent="0.25">
      <c r="A174">
        <f t="shared" si="73"/>
        <v>19.299999999999827</v>
      </c>
      <c r="B174">
        <f t="shared" si="71"/>
        <v>3.6050747220001574E-2</v>
      </c>
      <c r="C174">
        <f t="shared" si="72"/>
        <v>1.557420544315756E-3</v>
      </c>
      <c r="H174">
        <f t="shared" si="78"/>
        <v>26.600000000000048</v>
      </c>
      <c r="I174" s="1">
        <f t="shared" si="79"/>
        <v>1.6460807600950338</v>
      </c>
      <c r="J174" s="1">
        <f t="shared" si="80"/>
        <v>0.95012643348779835</v>
      </c>
      <c r="K174" s="1">
        <f t="shared" si="81"/>
        <v>1.0808139534884</v>
      </c>
      <c r="L174" s="1">
        <f t="shared" si="82"/>
        <v>0.13988994015014533</v>
      </c>
      <c r="O174" s="1">
        <f t="shared" si="76"/>
        <v>4.987356651220165E-2</v>
      </c>
      <c r="P174" s="1">
        <f t="shared" si="77"/>
        <v>0.13988994015014533</v>
      </c>
      <c r="Q174" s="1">
        <f t="shared" si="74"/>
        <v>4.987356651220165E-2</v>
      </c>
    </row>
    <row r="175" spans="1:17" x14ac:dyDescent="0.25">
      <c r="A175">
        <f t="shared" si="73"/>
        <v>19.324999999999825</v>
      </c>
      <c r="B175">
        <f t="shared" si="71"/>
        <v>3.683668675379468E-2</v>
      </c>
      <c r="C175">
        <f t="shared" si="72"/>
        <v>1.6305291101651579E-3</v>
      </c>
      <c r="H175">
        <f t="shared" si="78"/>
        <v>26.650000000000048</v>
      </c>
      <c r="I175" s="1">
        <f t="shared" si="79"/>
        <v>1.6698337292161742</v>
      </c>
      <c r="J175" s="1">
        <f t="shared" si="80"/>
        <v>0.95252386749772355</v>
      </c>
      <c r="K175" s="1">
        <f t="shared" si="81"/>
        <v>1.1098837209302608</v>
      </c>
      <c r="L175" s="1">
        <f t="shared" si="82"/>
        <v>0.13352456813418878</v>
      </c>
      <c r="O175" s="1">
        <f t="shared" si="76"/>
        <v>4.7476132502276447E-2</v>
      </c>
      <c r="P175" s="1">
        <f t="shared" si="77"/>
        <v>0.13352456813418878</v>
      </c>
      <c r="Q175" s="1">
        <f t="shared" si="74"/>
        <v>4.7476132502276447E-2</v>
      </c>
    </row>
    <row r="176" spans="1:17" x14ac:dyDescent="0.25">
      <c r="A176">
        <f t="shared" si="73"/>
        <v>19.349999999999824</v>
      </c>
      <c r="B176">
        <f t="shared" si="71"/>
        <v>3.7634451747045154E-2</v>
      </c>
      <c r="C176">
        <f t="shared" si="72"/>
        <v>1.7067089421701036E-3</v>
      </c>
      <c r="H176">
        <f t="shared" si="78"/>
        <v>26.700000000000049</v>
      </c>
      <c r="I176" s="1">
        <f t="shared" si="79"/>
        <v>1.6935866983373147</v>
      </c>
      <c r="J176" s="1">
        <f t="shared" si="80"/>
        <v>0.95482807628597088</v>
      </c>
      <c r="K176" s="1">
        <f t="shared" si="81"/>
        <v>1.1389534883721217</v>
      </c>
      <c r="L176" s="1">
        <f t="shared" si="82"/>
        <v>0.12736127713662304</v>
      </c>
      <c r="O176" s="1">
        <f t="shared" si="76"/>
        <v>4.5171923714029116E-2</v>
      </c>
      <c r="P176" s="1">
        <f t="shared" si="77"/>
        <v>0.12736127713662304</v>
      </c>
      <c r="Q176" s="1">
        <f t="shared" si="74"/>
        <v>4.5171923714029116E-2</v>
      </c>
    </row>
    <row r="177" spans="1:17" x14ac:dyDescent="0.25">
      <c r="A177">
        <f t="shared" si="73"/>
        <v>19.374999999999822</v>
      </c>
      <c r="B177">
        <f t="shared" si="71"/>
        <v>3.8444070829622375E-2</v>
      </c>
      <c r="C177">
        <f t="shared" si="72"/>
        <v>1.7860705963514219E-3</v>
      </c>
      <c r="H177">
        <f t="shared" si="78"/>
        <v>26.75000000000005</v>
      </c>
      <c r="I177" s="1">
        <f t="shared" si="79"/>
        <v>1.7173396674584551</v>
      </c>
      <c r="J177" s="1">
        <f t="shared" si="80"/>
        <v>0.95704143587524904</v>
      </c>
      <c r="K177" s="1">
        <f t="shared" si="81"/>
        <v>1.1680232558139827</v>
      </c>
      <c r="L177" s="1">
        <f t="shared" si="82"/>
        <v>0.12139869217067234</v>
      </c>
      <c r="O177" s="1">
        <f t="shared" si="76"/>
        <v>4.2958564124750964E-2</v>
      </c>
      <c r="P177" s="1">
        <f t="shared" si="77"/>
        <v>0.12139869217067234</v>
      </c>
      <c r="Q177" s="1">
        <f t="shared" si="74"/>
        <v>4.2958564124750964E-2</v>
      </c>
    </row>
    <row r="178" spans="1:17" x14ac:dyDescent="0.25">
      <c r="A178">
        <f t="shared" si="73"/>
        <v>19.399999999999821</v>
      </c>
      <c r="B178">
        <f t="shared" si="71"/>
        <v>3.9265568179729281E-2</v>
      </c>
      <c r="C178">
        <f t="shared" si="72"/>
        <v>1.8687277185220604E-3</v>
      </c>
      <c r="H178">
        <f t="shared" si="78"/>
        <v>26.80000000000005</v>
      </c>
      <c r="I178" s="1">
        <f t="shared" si="79"/>
        <v>1.7410926365795958</v>
      </c>
      <c r="J178" s="1">
        <f t="shared" si="80"/>
        <v>0.9591663290684852</v>
      </c>
      <c r="K178" s="1">
        <f t="shared" si="81"/>
        <v>1.1970930232558434</v>
      </c>
      <c r="L178" s="1">
        <f t="shared" si="82"/>
        <v>0.11563514949948206</v>
      </c>
      <c r="O178" s="1">
        <f t="shared" si="76"/>
        <v>4.0833670931514798E-2</v>
      </c>
      <c r="P178" s="1">
        <f t="shared" si="77"/>
        <v>0.11563514949948206</v>
      </c>
      <c r="Q178" s="1">
        <f t="shared" si="74"/>
        <v>4.0833670931514798E-2</v>
      </c>
    </row>
    <row r="179" spans="1:17" x14ac:dyDescent="0.25">
      <c r="A179">
        <f t="shared" si="73"/>
        <v>19.42499999999982</v>
      </c>
      <c r="B179">
        <f t="shared" si="71"/>
        <v>4.0098963414353275E-2</v>
      </c>
      <c r="C179">
        <f t="shared" si="72"/>
        <v>1.954797089714752E-3</v>
      </c>
      <c r="H179">
        <f t="shared" si="78"/>
        <v>26.850000000000051</v>
      </c>
      <c r="I179" s="1">
        <f t="shared" si="79"/>
        <v>1.7648456057007362</v>
      </c>
      <c r="J179" s="1">
        <f t="shared" si="80"/>
        <v>0.96120514122861023</v>
      </c>
      <c r="K179" s="1">
        <f t="shared" si="81"/>
        <v>1.2261627906977044</v>
      </c>
      <c r="L179" s="1">
        <f t="shared" si="82"/>
        <v>0.11006871030079468</v>
      </c>
      <c r="O179" s="1">
        <f t="shared" si="76"/>
        <v>3.8794858771389773E-2</v>
      </c>
      <c r="P179" s="1">
        <f t="shared" si="77"/>
        <v>0.11006871030079468</v>
      </c>
      <c r="Q179" s="1">
        <f t="shared" si="74"/>
        <v>3.8794858771389773E-2</v>
      </c>
    </row>
    <row r="180" spans="1:17" x14ac:dyDescent="0.25">
      <c r="A180">
        <f t="shared" si="73"/>
        <v>19.449999999999818</v>
      </c>
      <c r="B180">
        <f t="shared" si="71"/>
        <v>4.0944271480619278E-2</v>
      </c>
      <c r="C180">
        <f t="shared" si="72"/>
        <v>2.0443986703294966E-3</v>
      </c>
      <c r="H180">
        <f t="shared" si="78"/>
        <v>26.900000000000052</v>
      </c>
      <c r="I180" s="1">
        <f t="shared" si="79"/>
        <v>1.7885985748218767</v>
      </c>
      <c r="J180" s="1">
        <f t="shared" si="80"/>
        <v>0.96316025622133516</v>
      </c>
      <c r="K180" s="1">
        <f t="shared" si="81"/>
        <v>1.2552325581395654</v>
      </c>
      <c r="L180" s="1">
        <f t="shared" si="82"/>
        <v>0.1046971747891976</v>
      </c>
      <c r="O180" s="1">
        <f t="shared" si="76"/>
        <v>3.6839743778664835E-2</v>
      </c>
      <c r="P180" s="1">
        <f t="shared" si="77"/>
        <v>0.1046971747891976</v>
      </c>
      <c r="Q180" s="1">
        <f t="shared" si="74"/>
        <v>3.6839743778664835E-2</v>
      </c>
    </row>
    <row r="181" spans="1:17" x14ac:dyDescent="0.25">
      <c r="A181">
        <f t="shared" si="73"/>
        <v>19.474999999999817</v>
      </c>
      <c r="B181">
        <f t="shared" si="71"/>
        <v>4.1801502548157121E-2</v>
      </c>
      <c r="C181">
        <f t="shared" si="72"/>
        <v>2.1376556428843907E-3</v>
      </c>
      <c r="H181">
        <f t="shared" si="78"/>
        <v>26.950000000000053</v>
      </c>
      <c r="I181" s="1">
        <f t="shared" si="79"/>
        <v>1.8123515439430171</v>
      </c>
      <c r="J181" s="1">
        <f t="shared" si="80"/>
        <v>0.96503405252556551</v>
      </c>
      <c r="K181" s="1">
        <f t="shared" si="81"/>
        <v>1.2843023255814261</v>
      </c>
      <c r="L181" s="1">
        <f t="shared" si="82"/>
        <v>9.9518096721880944E-2</v>
      </c>
      <c r="O181" s="1">
        <f t="shared" si="76"/>
        <v>3.4965947474434489E-2</v>
      </c>
      <c r="P181" s="1">
        <f t="shared" si="77"/>
        <v>9.9518096721880944E-2</v>
      </c>
      <c r="Q181" s="1">
        <f t="shared" si="74"/>
        <v>3.4965947474434489E-2</v>
      </c>
    </row>
    <row r="182" spans="1:17" x14ac:dyDescent="0.25">
      <c r="A182">
        <f t="shared" si="73"/>
        <v>19.499999999999815</v>
      </c>
      <c r="B182">
        <f t="shared" si="71"/>
        <v>4.2670661902596711E-2</v>
      </c>
      <c r="C182">
        <f t="shared" si="72"/>
        <v>2.2346944532500705E-3</v>
      </c>
      <c r="H182">
        <f t="shared" si="78"/>
        <v>27.000000000000053</v>
      </c>
      <c r="I182" s="1">
        <f t="shared" si="79"/>
        <v>1.8361045130641576</v>
      </c>
      <c r="J182" s="1">
        <f t="shared" si="80"/>
        <v>0.96682889951536177</v>
      </c>
      <c r="K182" s="1">
        <f t="shared" si="81"/>
        <v>1.3133720930232871</v>
      </c>
      <c r="L182" s="1">
        <f t="shared" si="82"/>
        <v>9.4528798214462029E-2</v>
      </c>
      <c r="O182" s="1">
        <f t="shared" si="76"/>
        <v>3.3171100484638227E-2</v>
      </c>
      <c r="P182" s="1">
        <f t="shared" si="77"/>
        <v>9.4528798214462029E-2</v>
      </c>
      <c r="Q182" s="1">
        <f t="shared" si="74"/>
        <v>3.3171100484638227E-2</v>
      </c>
    </row>
    <row r="183" spans="1:17" x14ac:dyDescent="0.25">
      <c r="A183">
        <f t="shared" si="73"/>
        <v>19.524999999999814</v>
      </c>
      <c r="B183">
        <f t="shared" si="71"/>
        <v>4.3551749840305881E-2</v>
      </c>
      <c r="C183">
        <f t="shared" si="72"/>
        <v>2.3356448502448099E-3</v>
      </c>
      <c r="H183">
        <f t="shared" si="78"/>
        <v>27.050000000000054</v>
      </c>
      <c r="I183" s="1">
        <f t="shared" si="79"/>
        <v>1.859857482185298</v>
      </c>
      <c r="J183" s="1">
        <f t="shared" si="80"/>
        <v>0.9685471539166236</v>
      </c>
      <c r="K183" s="1">
        <f t="shared" si="81"/>
        <v>1.3424418604651478</v>
      </c>
      <c r="L183" s="1">
        <f t="shared" si="82"/>
        <v>8.9726384794466485E-2</v>
      </c>
      <c r="O183" s="1">
        <f t="shared" si="76"/>
        <v>3.1452846083376396E-2</v>
      </c>
      <c r="P183" s="1">
        <f t="shared" si="77"/>
        <v>8.9726384794466485E-2</v>
      </c>
      <c r="Q183" s="1">
        <f t="shared" si="74"/>
        <v>3.1452846083376396E-2</v>
      </c>
    </row>
    <row r="184" spans="1:17" x14ac:dyDescent="0.25">
      <c r="A184">
        <f t="shared" si="73"/>
        <v>19.549999999999812</v>
      </c>
      <c r="B184">
        <f t="shared" si="71"/>
        <v>4.4444761564486984E-2</v>
      </c>
      <c r="C184">
        <f t="shared" si="72"/>
        <v>2.4406399234642388E-3</v>
      </c>
      <c r="H184">
        <f t="shared" si="78"/>
        <v>27.100000000000055</v>
      </c>
      <c r="I184" s="1">
        <f t="shared" si="79"/>
        <v>1.8836104513064387</v>
      </c>
      <c r="J184" s="1">
        <f t="shared" si="80"/>
        <v>0.9701911564409641</v>
      </c>
      <c r="K184" s="1">
        <f t="shared" si="81"/>
        <v>1.3715116279070088</v>
      </c>
      <c r="L184" s="1">
        <f t="shared" si="82"/>
        <v>8.5107760621461859E-2</v>
      </c>
      <c r="O184" s="1">
        <f t="shared" si="76"/>
        <v>2.9808843559035902E-2</v>
      </c>
      <c r="P184" s="1">
        <f t="shared" si="77"/>
        <v>8.5107760621461859E-2</v>
      </c>
      <c r="Q184" s="1">
        <f t="shared" si="74"/>
        <v>2.9808843559035902E-2</v>
      </c>
    </row>
    <row r="185" spans="1:17" x14ac:dyDescent="0.25">
      <c r="A185">
        <f t="shared" si="73"/>
        <v>19.574999999999811</v>
      </c>
      <c r="B185">
        <f t="shared" si="71"/>
        <v>4.5349687082749231E-2</v>
      </c>
      <c r="C185">
        <f t="shared" si="72"/>
        <v>2.5498161392164278E-3</v>
      </c>
      <c r="H185">
        <f t="shared" si="78"/>
        <v>27.150000000000055</v>
      </c>
      <c r="I185" s="1">
        <f t="shared" si="79"/>
        <v>1.9073634204275791</v>
      </c>
      <c r="J185" s="1">
        <f t="shared" si="80"/>
        <v>0.97176322859855002</v>
      </c>
      <c r="K185" s="1">
        <f t="shared" si="81"/>
        <v>1.4005813953488697</v>
      </c>
      <c r="L185" s="1">
        <f t="shared" si="82"/>
        <v>8.066964380461572E-2</v>
      </c>
      <c r="O185" s="1">
        <f t="shared" si="76"/>
        <v>2.8236771401449978E-2</v>
      </c>
      <c r="P185" s="1">
        <f t="shared" si="77"/>
        <v>8.066964380461572E-2</v>
      </c>
      <c r="Q185" s="1">
        <f t="shared" si="74"/>
        <v>2.8236771401449978E-2</v>
      </c>
    </row>
    <row r="186" spans="1:17" x14ac:dyDescent="0.25">
      <c r="A186">
        <f t="shared" si="73"/>
        <v>19.59999999999981</v>
      </c>
      <c r="B186">
        <f t="shared" si="71"/>
        <v>4.6266511106274923E-2</v>
      </c>
      <c r="C186">
        <f t="shared" si="72"/>
        <v>2.6633133744303245E-3</v>
      </c>
      <c r="H186">
        <f t="shared" si="78"/>
        <v>27.200000000000056</v>
      </c>
      <c r="I186" s="1">
        <f t="shared" si="79"/>
        <v>1.9311163895487196</v>
      </c>
      <c r="J186" s="1">
        <f t="shared" si="80"/>
        <v>0.97326566969101669</v>
      </c>
      <c r="K186" s="1">
        <f t="shared" si="81"/>
        <v>1.4296511627907305</v>
      </c>
      <c r="L186" s="1">
        <f t="shared" si="82"/>
        <v>7.6408581750554982E-2</v>
      </c>
      <c r="O186" s="1">
        <f t="shared" si="76"/>
        <v>2.6734330308983312E-2</v>
      </c>
      <c r="P186" s="1">
        <f t="shared" si="77"/>
        <v>7.6408581750554982E-2</v>
      </c>
      <c r="Q186" s="1">
        <f t="shared" si="74"/>
        <v>2.6734330308983312E-2</v>
      </c>
    </row>
    <row r="187" spans="1:17" x14ac:dyDescent="0.25">
      <c r="A187">
        <f t="shared" si="73"/>
        <v>19.624999999999808</v>
      </c>
      <c r="B187">
        <f t="shared" si="71"/>
        <v>4.7195212950698291E-2</v>
      </c>
      <c r="C187">
        <f t="shared" si="72"/>
        <v>2.781274948402415E-3</v>
      </c>
      <c r="H187">
        <f t="shared" si="78"/>
        <v>27.250000000000057</v>
      </c>
      <c r="I187" s="1">
        <f t="shared" si="79"/>
        <v>1.95486935866986</v>
      </c>
      <c r="J187" s="1">
        <f t="shared" si="80"/>
        <v>0.9747007539849214</v>
      </c>
      <c r="K187" s="1">
        <f t="shared" si="81"/>
        <v>1.4587209302325914</v>
      </c>
      <c r="L187" s="1">
        <f t="shared" si="82"/>
        <v>7.2320966476822846E-2</v>
      </c>
      <c r="O187" s="1">
        <f t="shared" si="76"/>
        <v>2.5299246015078602E-2</v>
      </c>
      <c r="P187" s="1">
        <f t="shared" si="77"/>
        <v>7.2320966476822846E-2</v>
      </c>
      <c r="Q187" s="1">
        <f t="shared" si="74"/>
        <v>2.5299246015078602E-2</v>
      </c>
    </row>
    <row r="188" spans="1:17" x14ac:dyDescent="0.25">
      <c r="A188">
        <f t="shared" si="73"/>
        <v>19.649999999999807</v>
      </c>
      <c r="B188">
        <f t="shared" si="71"/>
        <v>4.8135766438816667E-2</v>
      </c>
      <c r="C188">
        <f t="shared" si="72"/>
        <v>2.9038476522438589E-3</v>
      </c>
      <c r="H188">
        <f t="shared" si="78"/>
        <v>27.300000000000058</v>
      </c>
      <c r="I188" s="1">
        <f t="shared" si="79"/>
        <v>1.9786223277910004</v>
      </c>
      <c r="J188" s="1">
        <f t="shared" si="80"/>
        <v>0.97607072806558148</v>
      </c>
      <c r="K188" s="1">
        <f t="shared" si="81"/>
        <v>1.4877906976744524</v>
      </c>
      <c r="L188" s="1">
        <f t="shared" si="82"/>
        <v>6.8403049828927087E-2</v>
      </c>
      <c r="O188" s="1">
        <f t="shared" si="76"/>
        <v>2.3929271934418517E-2</v>
      </c>
      <c r="P188" s="1">
        <f t="shared" si="77"/>
        <v>6.8403049828927087E-2</v>
      </c>
      <c r="Q188" s="1">
        <f t="shared" si="74"/>
        <v>2.3929271934418517E-2</v>
      </c>
    </row>
    <row r="189" spans="1:17" x14ac:dyDescent="0.25">
      <c r="A189">
        <f t="shared" si="73"/>
        <v>19.674999999999805</v>
      </c>
      <c r="B189">
        <f t="shared" si="71"/>
        <v>4.9088139805254075E-2</v>
      </c>
      <c r="C189">
        <f t="shared" si="72"/>
        <v>3.0311817758875469E-3</v>
      </c>
      <c r="H189">
        <f>H188+0.05</f>
        <v>27.350000000000058</v>
      </c>
      <c r="I189" s="1">
        <f t="shared" si="79"/>
        <v>2.0023752969121409</v>
      </c>
      <c r="J189" s="1">
        <f t="shared" si="80"/>
        <v>0.97737780837055444</v>
      </c>
      <c r="K189" s="1">
        <f t="shared" si="81"/>
        <v>1.5168604651163131</v>
      </c>
      <c r="L189" s="1">
        <f t="shared" si="82"/>
        <v>6.4650958541924042E-2</v>
      </c>
      <c r="O189" s="1">
        <f t="shared" si="76"/>
        <v>2.2622191629445565E-2</v>
      </c>
      <c r="P189" s="1">
        <f t="shared" si="77"/>
        <v>6.4650958541924042E-2</v>
      </c>
      <c r="Q189" s="1">
        <f t="shared" si="74"/>
        <v>2.2622191629445565E-2</v>
      </c>
    </row>
    <row r="190" spans="1:17" x14ac:dyDescent="0.25">
      <c r="A190">
        <f t="shared" si="73"/>
        <v>19.699999999999804</v>
      </c>
      <c r="B190">
        <f t="shared" si="71"/>
        <v>5.0052295603198078E-2</v>
      </c>
      <c r="C190">
        <f t="shared" si="72"/>
        <v>3.1634311325121236E-3</v>
      </c>
      <c r="H190">
        <f t="shared" ref="H190:H192" si="83">H189+0.05</f>
        <v>27.400000000000059</v>
      </c>
      <c r="I190" s="1">
        <f t="shared" si="79"/>
        <v>2.0261282660332816</v>
      </c>
      <c r="J190" s="1">
        <f t="shared" si="80"/>
        <v>0.97862417890145548</v>
      </c>
      <c r="K190" s="1">
        <f t="shared" si="81"/>
        <v>1.5459302325581741</v>
      </c>
      <c r="L190" s="1">
        <f t="shared" si="82"/>
        <v>6.1060709090659304E-2</v>
      </c>
      <c r="O190" s="1">
        <f t="shared" si="76"/>
        <v>2.1375821098544523E-2</v>
      </c>
      <c r="P190" s="1">
        <f t="shared" si="77"/>
        <v>6.1060709090659304E-2</v>
      </c>
      <c r="Q190" s="1">
        <f t="shared" si="74"/>
        <v>2.1375821098544523E-2</v>
      </c>
    </row>
    <row r="191" spans="1:17" x14ac:dyDescent="0.25">
      <c r="A191">
        <f t="shared" si="73"/>
        <v>19.724999999999802</v>
      </c>
      <c r="B191">
        <f t="shared" si="71"/>
        <v>5.1028190613330714E-2</v>
      </c>
      <c r="C191">
        <f t="shared" si="72"/>
        <v>3.3007530802374625E-3</v>
      </c>
      <c r="H191">
        <f t="shared" si="83"/>
        <v>27.45000000000006</v>
      </c>
      <c r="I191" s="1">
        <f t="shared" si="79"/>
        <v>2.0498812351544218</v>
      </c>
      <c r="J191" s="1">
        <f t="shared" si="80"/>
        <v>0.97981198911227885</v>
      </c>
      <c r="K191" s="1">
        <f t="shared" si="81"/>
        <v>1.5750000000000348</v>
      </c>
      <c r="L191" s="1">
        <f t="shared" si="82"/>
        <v>5.7628222276149055E-2</v>
      </c>
      <c r="O191" s="1">
        <f t="shared" si="76"/>
        <v>2.0188010887721153E-2</v>
      </c>
      <c r="P191" s="1">
        <f t="shared" si="77"/>
        <v>5.7628222276149055E-2</v>
      </c>
      <c r="Q191" s="1">
        <f t="shared" si="74"/>
        <v>2.0188010887721153E-2</v>
      </c>
    </row>
    <row r="192" spans="1:17" x14ac:dyDescent="0.25">
      <c r="A192">
        <f t="shared" si="73"/>
        <v>19.749999999999801</v>
      </c>
      <c r="B192">
        <f t="shared" si="71"/>
        <v>5.2015775755074836E-2</v>
      </c>
      <c r="C192">
        <f t="shared" si="72"/>
        <v>3.4433085409438374E-3</v>
      </c>
      <c r="H192">
        <f t="shared" si="83"/>
        <v>27.50000000000006</v>
      </c>
      <c r="I192" s="1">
        <f t="shared" si="79"/>
        <v>2.0736342042755624</v>
      </c>
      <c r="J192" s="1">
        <f t="shared" si="80"/>
        <v>0.98094335197188876</v>
      </c>
      <c r="K192" s="1">
        <f t="shared" si="81"/>
        <v>1.6040697674418958</v>
      </c>
      <c r="L192" s="1">
        <f t="shared" si="82"/>
        <v>5.4349337499121297E-2</v>
      </c>
      <c r="O192" s="1">
        <f t="shared" si="76"/>
        <v>1.9056648028111245E-2</v>
      </c>
      <c r="P192" s="1">
        <f t="shared" si="77"/>
        <v>5.4349337499121297E-2</v>
      </c>
      <c r="Q192" s="1">
        <f t="shared" si="74"/>
        <v>1.9056648028111245E-2</v>
      </c>
    </row>
    <row r="193" spans="1:17" x14ac:dyDescent="0.25">
      <c r="A193">
        <f t="shared" si="73"/>
        <v>19.7749999999998</v>
      </c>
      <c r="B193">
        <f t="shared" si="71"/>
        <v>5.301499600027703E-2</v>
      </c>
      <c r="C193">
        <f t="shared" si="72"/>
        <v>3.5912620160650694E-3</v>
      </c>
      <c r="H193">
        <f>H192+0.05</f>
        <v>27.550000000000061</v>
      </c>
      <c r="I193" s="1">
        <f t="shared" si="79"/>
        <v>2.0973871733967031</v>
      </c>
      <c r="J193" s="1">
        <f t="shared" si="80"/>
        <v>0.98202034219787993</v>
      </c>
      <c r="K193" s="1">
        <f t="shared" si="81"/>
        <v>1.6331395348837567</v>
      </c>
      <c r="L193" s="1">
        <f t="shared" si="82"/>
        <v>5.1219826675392155E-2</v>
      </c>
      <c r="O193" s="1">
        <f t="shared" si="76"/>
        <v>1.7979657802120075E-2</v>
      </c>
      <c r="P193" s="1">
        <f t="shared" si="77"/>
        <v>5.1219826675392155E-2</v>
      </c>
      <c r="Q193" s="1">
        <f t="shared" si="74"/>
        <v>1.7979657802120075E-2</v>
      </c>
    </row>
    <row r="194" spans="1:17" x14ac:dyDescent="0.25">
      <c r="A194">
        <f t="shared" si="73"/>
        <v>19.799999999999798</v>
      </c>
      <c r="B194">
        <f t="shared" si="71"/>
        <v>5.4025790289448795E-2</v>
      </c>
      <c r="C194">
        <f t="shared" si="72"/>
        <v>3.7447815992036884E-3</v>
      </c>
      <c r="H194">
        <f t="shared" ref="H194:H196" si="84">H193+0.05</f>
        <v>27.600000000000062</v>
      </c>
      <c r="I194" s="1">
        <f t="shared" si="79"/>
        <v>2.1211401425178433</v>
      </c>
      <c r="J194" s="1">
        <f t="shared" si="80"/>
        <v>0.98304499465857209</v>
      </c>
      <c r="K194" s="1">
        <f t="shared" si="81"/>
        <v>1.6622093023256175</v>
      </c>
      <c r="L194" s="1">
        <f t="shared" si="82"/>
        <v>4.8235407751523462E-2</v>
      </c>
      <c r="O194" s="1">
        <f t="shared" si="76"/>
        <v>1.6955005341427909E-2</v>
      </c>
      <c r="P194" s="1">
        <f t="shared" si="77"/>
        <v>4.8235407751523462E-2</v>
      </c>
      <c r="Q194" s="1">
        <f t="shared" si="74"/>
        <v>1.6955005341427909E-2</v>
      </c>
    </row>
    <row r="195" spans="1:17" x14ac:dyDescent="0.25">
      <c r="A195">
        <f t="shared" si="73"/>
        <v>19.824999999999797</v>
      </c>
      <c r="B195">
        <f t="shared" ref="B195:B258" si="85">_xlfn.NORM.DIST(A195,23.135,2.105,0)</f>
        <v>5.5048091450686371E-2</v>
      </c>
      <c r="C195">
        <f t="shared" ref="C195:C258" si="86">_xlfn.NORM.DIST(A195,24.741,1.72,0)</f>
        <v>3.9040389854147137E-3</v>
      </c>
      <c r="H195">
        <f t="shared" si="84"/>
        <v>27.650000000000063</v>
      </c>
      <c r="I195" s="1">
        <f t="shared" si="79"/>
        <v>2.144893111638984</v>
      </c>
      <c r="J195" s="1">
        <f t="shared" si="80"/>
        <v>0.98401930293950346</v>
      </c>
      <c r="K195" s="1">
        <f t="shared" si="81"/>
        <v>1.6912790697674784</v>
      </c>
      <c r="L195" s="1">
        <f t="shared" si="82"/>
        <v>4.5391757783040054E-2</v>
      </c>
      <c r="O195" s="1">
        <f t="shared" si="76"/>
        <v>1.598069706049654E-2</v>
      </c>
      <c r="P195" s="1">
        <f t="shared" si="77"/>
        <v>4.5391757783040054E-2</v>
      </c>
      <c r="Q195" s="1">
        <f t="shared" si="74"/>
        <v>1.598069706049654E-2</v>
      </c>
    </row>
    <row r="196" spans="1:17" x14ac:dyDescent="0.25">
      <c r="A196">
        <f t="shared" ref="A196:A259" si="87">A195+0.025</f>
        <v>19.849999999999795</v>
      </c>
      <c r="B196">
        <f t="shared" si="85"/>
        <v>5.6081826121390656E-2</v>
      </c>
      <c r="C196">
        <f t="shared" si="86"/>
        <v>4.0692094770027826E-3</v>
      </c>
      <c r="H196">
        <f t="shared" si="84"/>
        <v>27.700000000000063</v>
      </c>
      <c r="I196" s="1">
        <f t="shared" si="79"/>
        <v>2.1686460807601242</v>
      </c>
      <c r="J196" s="1">
        <f t="shared" si="80"/>
        <v>0.98494521807041546</v>
      </c>
      <c r="K196" s="1">
        <f t="shared" si="81"/>
        <v>1.7203488372093394</v>
      </c>
      <c r="L196" s="1">
        <f t="shared" si="82"/>
        <v>4.2684525541372365E-2</v>
      </c>
      <c r="O196" s="1">
        <f t="shared" si="76"/>
        <v>1.5054781929584538E-2</v>
      </c>
      <c r="P196" s="1">
        <f t="shared" si="77"/>
        <v>4.2684525541372365E-2</v>
      </c>
      <c r="Q196" s="1">
        <f t="shared" si="74"/>
        <v>1.5054781929584538E-2</v>
      </c>
    </row>
    <row r="197" spans="1:17" x14ac:dyDescent="0.25">
      <c r="A197">
        <f t="shared" si="87"/>
        <v>19.874999999999794</v>
      </c>
      <c r="B197">
        <f t="shared" si="85"/>
        <v>5.7126914672906738E-2</v>
      </c>
      <c r="C197">
        <f t="shared" si="86"/>
        <v>4.2404719856761293E-3</v>
      </c>
      <c r="H197">
        <f>H196+0.05</f>
        <v>27.750000000000064</v>
      </c>
      <c r="I197" s="1">
        <f t="shared" si="79"/>
        <v>2.1923990498812649</v>
      </c>
      <c r="J197" s="1">
        <f t="shared" si="80"/>
        <v>0.98582464740839248</v>
      </c>
      <c r="K197" s="1">
        <f t="shared" si="81"/>
        <v>1.7494186046512001</v>
      </c>
      <c r="L197" s="1">
        <f t="shared" si="82"/>
        <v>4.0109343619586846E-2</v>
      </c>
      <c r="O197" s="1">
        <f t="shared" si="76"/>
        <v>1.4175352591607515E-2</v>
      </c>
      <c r="P197" s="1">
        <f t="shared" si="77"/>
        <v>4.0109343619586846E-2</v>
      </c>
      <c r="Q197" s="1">
        <f t="shared" si="74"/>
        <v>1.4175352591607515E-2</v>
      </c>
    </row>
    <row r="198" spans="1:17" x14ac:dyDescent="0.25">
      <c r="A198">
        <f t="shared" si="87"/>
        <v>19.899999999999793</v>
      </c>
      <c r="B198">
        <f t="shared" si="85"/>
        <v>5.818327113820336E-2</v>
      </c>
      <c r="C198">
        <f t="shared" si="86"/>
        <v>4.418009030899772E-3</v>
      </c>
      <c r="H198">
        <f t="shared" ref="H198:H199" si="88">H197+0.05</f>
        <v>27.800000000000065</v>
      </c>
      <c r="I198" s="1">
        <f t="shared" si="79"/>
        <v>2.2161520190024051</v>
      </c>
      <c r="J198" s="1">
        <f t="shared" si="80"/>
        <v>0.98665945367251218</v>
      </c>
      <c r="K198" s="1">
        <f t="shared" si="81"/>
        <v>1.7784883720930611</v>
      </c>
      <c r="L198" s="1">
        <f t="shared" si="82"/>
        <v>3.7661840010856262E-2</v>
      </c>
      <c r="O198" s="1">
        <f t="shared" si="76"/>
        <v>1.3340546327487823E-2</v>
      </c>
      <c r="P198" s="1">
        <f t="shared" si="77"/>
        <v>3.7661840010856262E-2</v>
      </c>
      <c r="Q198" s="1">
        <f t="shared" si="74"/>
        <v>1.3340546327487823E-2</v>
      </c>
    </row>
    <row r="199" spans="1:17" x14ac:dyDescent="0.25">
      <c r="A199">
        <f t="shared" si="87"/>
        <v>19.924999999999791</v>
      </c>
      <c r="B199">
        <f t="shared" si="85"/>
        <v>5.9250803142710674E-2</v>
      </c>
      <c r="C199">
        <f t="shared" si="86"/>
        <v>4.6020067342891118E-3</v>
      </c>
      <c r="H199">
        <f t="shared" si="88"/>
        <v>27.850000000000065</v>
      </c>
      <c r="I199" s="1">
        <f t="shared" si="79"/>
        <v>2.2399049881235458</v>
      </c>
      <c r="J199" s="1">
        <f t="shared" si="80"/>
        <v>0.98745145412509538</v>
      </c>
      <c r="K199" s="1">
        <f t="shared" si="81"/>
        <v>1.8075581395349221</v>
      </c>
      <c r="L199" s="1">
        <f t="shared" si="82"/>
        <v>3.5337649137480831E-2</v>
      </c>
      <c r="O199" s="1">
        <f t="shared" si="76"/>
        <v>1.2548545874904615E-2</v>
      </c>
      <c r="P199" s="1">
        <f t="shared" si="77"/>
        <v>3.5337649137480831E-2</v>
      </c>
      <c r="Q199" s="1">
        <f t="shared" ref="Q199:Q202" si="89">O199</f>
        <v>1.2548545874904615E-2</v>
      </c>
    </row>
    <row r="200" spans="1:17" x14ac:dyDescent="0.25">
      <c r="A200">
        <f t="shared" si="87"/>
        <v>19.94999999999979</v>
      </c>
      <c r="B200">
        <f t="shared" si="85"/>
        <v>6.0329411838434391E-2</v>
      </c>
      <c r="C200">
        <f t="shared" si="86"/>
        <v>4.7926548098847525E-3</v>
      </c>
      <c r="H200">
        <f>H199+0.05</f>
        <v>27.900000000000066</v>
      </c>
      <c r="I200" s="1">
        <f t="shared" si="79"/>
        <v>2.2636579572446864</v>
      </c>
      <c r="J200" s="1">
        <f t="shared" si="80"/>
        <v>0.9882024198944096</v>
      </c>
      <c r="K200" s="1">
        <f t="shared" si="81"/>
        <v>1.8366279069767828</v>
      </c>
      <c r="L200" s="1">
        <f t="shared" si="82"/>
        <v>3.3132422312061927E-2</v>
      </c>
      <c r="O200" s="1">
        <f t="shared" si="76"/>
        <v>1.1797580105590399E-2</v>
      </c>
      <c r="P200" s="1">
        <f t="shared" si="77"/>
        <v>3.3132422312061927E-2</v>
      </c>
      <c r="Q200" s="1">
        <f t="shared" si="89"/>
        <v>1.1797580105590399E-2</v>
      </c>
    </row>
    <row r="201" spans="1:17" x14ac:dyDescent="0.25">
      <c r="A201">
        <f t="shared" si="87"/>
        <v>19.974999999999788</v>
      </c>
      <c r="B201">
        <f t="shared" si="85"/>
        <v>6.1418991841463141E-2</v>
      </c>
      <c r="C201">
        <f t="shared" si="86"/>
        <v>4.9901465501485101E-3</v>
      </c>
      <c r="H201">
        <f t="shared" ref="H201:H202" si="90">H200+0.05</f>
        <v>27.950000000000067</v>
      </c>
      <c r="I201" s="1">
        <f t="shared" si="79"/>
        <v>2.2874109263658267</v>
      </c>
      <c r="J201" s="1">
        <f t="shared" si="80"/>
        <v>0.98891407543347021</v>
      </c>
      <c r="K201" s="1">
        <f t="shared" si="81"/>
        <v>1.8656976744186438</v>
      </c>
      <c r="L201" s="1">
        <f t="shared" si="82"/>
        <v>3.1041837616151868E-2</v>
      </c>
      <c r="O201" s="1">
        <f t="shared" ref="O201:O202" si="91">1-J201</f>
        <v>1.1085924566529792E-2</v>
      </c>
      <c r="P201" s="1">
        <f t="shared" ref="P201:P202" si="92">L201</f>
        <v>3.1041837616151868E-2</v>
      </c>
      <c r="Q201" s="1">
        <f t="shared" si="89"/>
        <v>1.1085924566529792E-2</v>
      </c>
    </row>
    <row r="202" spans="1:17" x14ac:dyDescent="0.25">
      <c r="A202">
        <f t="shared" si="87"/>
        <v>19.999999999999787</v>
      </c>
      <c r="B202">
        <f t="shared" si="85"/>
        <v>6.2519431172984627E-2</v>
      </c>
      <c r="C202">
        <f t="shared" si="86"/>
        <v>5.1946788075206817E-3</v>
      </c>
      <c r="H202">
        <f t="shared" si="90"/>
        <v>28.000000000000068</v>
      </c>
      <c r="I202" s="1">
        <f t="shared" si="79"/>
        <v>2.3111638954869673</v>
      </c>
      <c r="J202" s="1">
        <f t="shared" si="80"/>
        <v>0.98958809810941417</v>
      </c>
      <c r="K202" s="1">
        <f t="shared" si="81"/>
        <v>1.8947674418605045</v>
      </c>
      <c r="L202" s="1">
        <f t="shared" si="82"/>
        <v>2.9061609185315307E-2</v>
      </c>
      <c r="O202" s="1">
        <f t="shared" si="91"/>
        <v>1.0411901890585828E-2</v>
      </c>
      <c r="P202" s="1">
        <f t="shared" si="92"/>
        <v>2.9061609185315307E-2</v>
      </c>
      <c r="Q202" s="1">
        <f t="shared" si="89"/>
        <v>1.0411901890585828E-2</v>
      </c>
    </row>
    <row r="203" spans="1:17" x14ac:dyDescent="0.25">
      <c r="A203">
        <f t="shared" si="87"/>
        <v>20.024999999999785</v>
      </c>
      <c r="B203">
        <f t="shared" si="85"/>
        <v>6.3630611203924992E-2</v>
      </c>
      <c r="C203">
        <f t="shared" si="86"/>
        <v>5.4064519713785284E-3</v>
      </c>
    </row>
    <row r="204" spans="1:17" x14ac:dyDescent="0.25">
      <c r="A204">
        <f t="shared" si="87"/>
        <v>20.049999999999784</v>
      </c>
      <c r="B204">
        <f t="shared" si="85"/>
        <v>6.4752406603323681E-2</v>
      </c>
      <c r="C204">
        <f t="shared" si="86"/>
        <v>5.6256699402362107E-3</v>
      </c>
    </row>
    <row r="205" spans="1:17" x14ac:dyDescent="0.25">
      <c r="A205">
        <f t="shared" si="87"/>
        <v>20.074999999999783</v>
      </c>
      <c r="B205">
        <f t="shared" si="85"/>
        <v>6.5884685290555453E-2</v>
      </c>
      <c r="C205">
        <f t="shared" si="86"/>
        <v>5.8525400890272411E-3</v>
      </c>
      <c r="K205" t="s">
        <v>44</v>
      </c>
      <c r="L205">
        <f>2*SUM(L6:L202)-L6-L202</f>
        <v>260.86989789818864</v>
      </c>
    </row>
    <row r="206" spans="1:17" x14ac:dyDescent="0.25">
      <c r="A206">
        <f t="shared" si="87"/>
        <v>20.099999999999781</v>
      </c>
      <c r="B206">
        <f t="shared" si="85"/>
        <v>6.7027308391507875E-2</v>
      </c>
      <c r="C206">
        <f t="shared" si="86"/>
        <v>6.0872732313111636E-3</v>
      </c>
      <c r="K206" t="s">
        <v>45</v>
      </c>
      <c r="L206">
        <f>2*197</f>
        <v>394</v>
      </c>
    </row>
    <row r="207" spans="1:17" x14ac:dyDescent="0.25">
      <c r="A207">
        <f t="shared" si="87"/>
        <v>20.12499999999978</v>
      </c>
      <c r="B207">
        <f t="shared" si="85"/>
        <v>6.81801301988222E-2</v>
      </c>
      <c r="C207">
        <f t="shared" si="86"/>
        <v>6.3300835762476601E-3</v>
      </c>
      <c r="K207" t="s">
        <v>46</v>
      </c>
      <c r="L207">
        <f>L205/L206</f>
        <v>0.6621063398431184</v>
      </c>
    </row>
    <row r="208" spans="1:17" x14ac:dyDescent="0.25">
      <c r="A208">
        <f t="shared" si="87"/>
        <v>20.149999999999778</v>
      </c>
      <c r="B208">
        <f t="shared" si="85"/>
        <v>6.9342998136302125E-2</v>
      </c>
      <c r="C208">
        <f t="shared" si="86"/>
        <v>6.5811886801826168E-3</v>
      </c>
    </row>
    <row r="209" spans="1:12" x14ac:dyDescent="0.25">
      <c r="A209">
        <f t="shared" si="87"/>
        <v>20.174999999999777</v>
      </c>
      <c r="B209">
        <f t="shared" si="85"/>
        <v>7.051575272759332E-2</v>
      </c>
      <c r="C209">
        <f t="shared" si="86"/>
        <v>6.8408093926926551E-3</v>
      </c>
    </row>
    <row r="210" spans="1:12" x14ac:dyDescent="0.25">
      <c r="A210">
        <f t="shared" si="87"/>
        <v>20.199999999999775</v>
      </c>
      <c r="B210">
        <f t="shared" si="85"/>
        <v>7.1698227569233899E-2</v>
      </c>
      <c r="C210">
        <f t="shared" si="86"/>
        <v>7.1091697969369386E-3</v>
      </c>
    </row>
    <row r="211" spans="1:12" x14ac:dyDescent="0.25">
      <c r="A211">
        <f t="shared" si="87"/>
        <v>20.224999999999774</v>
      </c>
      <c r="B211">
        <f t="shared" si="85"/>
        <v>7.2890249308172991E-2</v>
      </c>
      <c r="C211">
        <f t="shared" si="86"/>
        <v>7.3864971441673522E-3</v>
      </c>
      <c r="L211">
        <f>COUNT(L6:L202)</f>
        <v>197</v>
      </c>
    </row>
    <row r="212" spans="1:12" x14ac:dyDescent="0.25">
      <c r="A212">
        <f t="shared" si="87"/>
        <v>20.249999999999773</v>
      </c>
      <c r="B212">
        <f t="shared" si="85"/>
        <v>7.4091637623852888E-2</v>
      </c>
      <c r="C212">
        <f t="shared" si="86"/>
        <v>7.6730217822515E-3</v>
      </c>
    </row>
    <row r="213" spans="1:12" x14ac:dyDescent="0.25">
      <c r="A213">
        <f t="shared" si="87"/>
        <v>20.274999999999771</v>
      </c>
      <c r="B213">
        <f t="shared" si="85"/>
        <v>7.5302205214945933E-2</v>
      </c>
      <c r="C213">
        <f t="shared" si="86"/>
        <v>7.96897707806574E-3</v>
      </c>
    </row>
    <row r="214" spans="1:12" x14ac:dyDescent="0.25">
      <c r="A214">
        <f t="shared" si="87"/>
        <v>20.29999999999977</v>
      </c>
      <c r="B214">
        <f t="shared" si="85"/>
        <v>7.6521757790835088E-2</v>
      </c>
      <c r="C214">
        <f t="shared" si="86"/>
        <v>8.2745993336196689E-3</v>
      </c>
    </row>
    <row r="215" spans="1:12" x14ac:dyDescent="0.25">
      <c r="A215">
        <f t="shared" si="87"/>
        <v>20.324999999999768</v>
      </c>
      <c r="B215">
        <f t="shared" si="85"/>
        <v>7.7750094067923686E-2</v>
      </c>
      <c r="C215">
        <f t="shared" si="86"/>
        <v>8.5901276957771402E-3</v>
      </c>
    </row>
    <row r="216" spans="1:12" x14ac:dyDescent="0.25">
      <c r="A216">
        <f t="shared" si="87"/>
        <v>20.349999999999767</v>
      </c>
      <c r="B216">
        <f t="shared" si="85"/>
        <v>7.8987005770856294E-2</v>
      </c>
      <c r="C216">
        <f t="shared" si="86"/>
        <v>8.9158040594433541E-3</v>
      </c>
    </row>
    <row r="217" spans="1:12" x14ac:dyDescent="0.25">
      <c r="A217">
        <f t="shared" si="87"/>
        <v>20.374999999999766</v>
      </c>
      <c r="B217">
        <f t="shared" si="85"/>
        <v>8.0232277638729296E-2</v>
      </c>
      <c r="C217">
        <f t="shared" si="86"/>
        <v>9.2518729640927982E-3</v>
      </c>
    </row>
    <row r="218" spans="1:12" x14ac:dyDescent="0.25">
      <c r="A218">
        <f t="shared" si="87"/>
        <v>20.399999999999764</v>
      </c>
      <c r="B218">
        <f t="shared" si="85"/>
        <v>8.1485687436365764E-2</v>
      </c>
      <c r="C218">
        <f t="shared" si="86"/>
        <v>9.5985814835173565E-3</v>
      </c>
    </row>
    <row r="219" spans="1:12" x14ac:dyDescent="0.25">
      <c r="A219">
        <f t="shared" si="87"/>
        <v>20.424999999999763</v>
      </c>
      <c r="B219">
        <f t="shared" si="85"/>
        <v>8.2747005970726026E-2</v>
      </c>
      <c r="C219">
        <f t="shared" si="86"/>
        <v>9.9561791086802409E-3</v>
      </c>
    </row>
    <row r="220" spans="1:12" x14ac:dyDescent="0.25">
      <c r="A220">
        <f t="shared" si="87"/>
        <v>20.449999999999761</v>
      </c>
      <c r="B220">
        <f t="shared" si="85"/>
        <v>8.401599711252021E-2</v>
      </c>
      <c r="C220">
        <f t="shared" si="86"/>
        <v>1.0324917623567053E-2</v>
      </c>
    </row>
    <row r="221" spans="1:12" x14ac:dyDescent="0.25">
      <c r="A221">
        <f t="shared" si="87"/>
        <v>20.47499999999976</v>
      </c>
      <c r="B221">
        <f t="shared" si="85"/>
        <v>8.5292417823086261E-2</v>
      </c>
      <c r="C221">
        <f t="shared" si="86"/>
        <v>1.0705050973931663E-2</v>
      </c>
    </row>
    <row r="222" spans="1:12" x14ac:dyDescent="0.25">
      <c r="A222">
        <f t="shared" si="87"/>
        <v>20.499999999999758</v>
      </c>
      <c r="B222">
        <f t="shared" si="85"/>
        <v>8.6576018186591663E-2</v>
      </c>
      <c r="C222">
        <f t="shared" si="86"/>
        <v>1.1096835128841995E-2</v>
      </c>
    </row>
    <row r="223" spans="1:12" x14ac:dyDescent="0.25">
      <c r="A223">
        <f t="shared" si="87"/>
        <v>20.524999999999757</v>
      </c>
      <c r="B223">
        <f t="shared" si="85"/>
        <v>8.7866541447612967E-2</v>
      </c>
      <c r="C223">
        <f t="shared" si="86"/>
        <v>1.1500527934937367E-2</v>
      </c>
    </row>
    <row r="224" spans="1:12" x14ac:dyDescent="0.25">
      <c r="A224">
        <f t="shared" si="87"/>
        <v>20.549999999999756</v>
      </c>
      <c r="B224">
        <f t="shared" si="85"/>
        <v>8.9163724054143217E-2</v>
      </c>
      <c r="C224">
        <f t="shared" si="86"/>
        <v>1.1916388963317559E-2</v>
      </c>
    </row>
    <row r="225" spans="1:3" x14ac:dyDescent="0.25">
      <c r="A225">
        <f t="shared" si="87"/>
        <v>20.574999999999754</v>
      </c>
      <c r="B225">
        <f t="shared" si="85"/>
        <v>9.0467295706071579E-2</v>
      </c>
      <c r="C225">
        <f t="shared" si="86"/>
        <v>1.2344679348991151E-2</v>
      </c>
    </row>
    <row r="226" spans="1:3" x14ac:dyDescent="0.25">
      <c r="A226">
        <f t="shared" si="87"/>
        <v>20.599999999999753</v>
      </c>
      <c r="B226">
        <f t="shared" si="85"/>
        <v>9.1776979409176285E-2</v>
      </c>
      <c r="C226">
        <f t="shared" si="86"/>
        <v>1.2785661622819924E-2</v>
      </c>
    </row>
    <row r="227" spans="1:3" x14ac:dyDescent="0.25">
      <c r="A227">
        <f t="shared" si="87"/>
        <v>20.624999999999751</v>
      </c>
      <c r="B227">
        <f t="shared" si="85"/>
        <v>9.3092491534665436E-2</v>
      </c>
      <c r="C227">
        <f t="shared" si="86"/>
        <v>1.3239599535904719E-2</v>
      </c>
    </row>
    <row r="228" spans="1:3" x14ac:dyDescent="0.25">
      <c r="A228">
        <f t="shared" si="87"/>
        <v>20.64999999999975</v>
      </c>
      <c r="B228">
        <f t="shared" si="85"/>
        <v>9.441354188429664E-2</v>
      </c>
      <c r="C228">
        <f t="shared" si="86"/>
        <v>1.3706757876367416E-2</v>
      </c>
    </row>
    <row r="229" spans="1:3" x14ac:dyDescent="0.25">
      <c r="A229">
        <f t="shared" si="87"/>
        <v>20.674999999999748</v>
      </c>
      <c r="B229">
        <f t="shared" si="85"/>
        <v>9.5739833761100249E-2</v>
      </c>
      <c r="C229">
        <f t="shared" si="86"/>
        <v>1.4187402278494248E-2</v>
      </c>
    </row>
    <row r="230" spans="1:3" x14ac:dyDescent="0.25">
      <c r="A230">
        <f t="shared" si="87"/>
        <v>20.699999999999747</v>
      </c>
      <c r="B230">
        <f t="shared" si="85"/>
        <v>9.7071064045726685E-2</v>
      </c>
      <c r="C230">
        <f t="shared" si="86"/>
        <v>1.4681799024214829E-2</v>
      </c>
    </row>
    <row r="231" spans="1:3" x14ac:dyDescent="0.25">
      <c r="A231">
        <f t="shared" si="87"/>
        <v>20.724999999999746</v>
      </c>
      <c r="B231">
        <f t="shared" si="85"/>
        <v>9.8406923278432284E-2</v>
      </c>
      <c r="C231">
        <f t="shared" si="86"/>
        <v>1.5190214836903016E-2</v>
      </c>
    </row>
    <row r="232" spans="1:3" x14ac:dyDescent="0.25">
      <c r="A232">
        <f t="shared" si="87"/>
        <v>20.749999999999744</v>
      </c>
      <c r="B232">
        <f t="shared" si="85"/>
        <v>9.974709574671306E-2</v>
      </c>
      <c r="C232">
        <f t="shared" si="86"/>
        <v>1.5712916667495823E-2</v>
      </c>
    </row>
    <row r="233" spans="1:3" x14ac:dyDescent="0.25">
      <c r="A233">
        <f t="shared" si="87"/>
        <v>20.774999999999743</v>
      </c>
      <c r="B233">
        <f t="shared" si="85"/>
        <v>0.10109125957859043</v>
      </c>
      <c r="C233">
        <f t="shared" si="86"/>
        <v>1.6250171472938765E-2</v>
      </c>
    </row>
    <row r="234" spans="1:3" x14ac:dyDescent="0.25">
      <c r="A234">
        <f t="shared" si="87"/>
        <v>20.799999999999741</v>
      </c>
      <c r="B234">
        <f t="shared" si="85"/>
        <v>0.10243908684154698</v>
      </c>
      <c r="C234">
        <f t="shared" si="86"/>
        <v>1.6802245986977476E-2</v>
      </c>
    </row>
    <row r="235" spans="1:3" x14ac:dyDescent="0.25">
      <c r="A235">
        <f t="shared" si="87"/>
        <v>20.82499999999974</v>
      </c>
      <c r="B235">
        <f t="shared" si="85"/>
        <v>0.10379024364710487</v>
      </c>
      <c r="C235">
        <f t="shared" si="86"/>
        <v>1.7369406483327479E-2</v>
      </c>
    </row>
    <row r="236" spans="1:3" x14ac:dyDescent="0.25">
      <c r="A236">
        <f t="shared" si="87"/>
        <v>20.849999999999739</v>
      </c>
      <c r="B236">
        <f t="shared" si="85"/>
        <v>0.10514439026103417</v>
      </c>
      <c r="C236">
        <f t="shared" si="86"/>
        <v>1.7951918531267163E-2</v>
      </c>
    </row>
    <row r="237" spans="1:3" x14ac:dyDescent="0.25">
      <c r="A237">
        <f t="shared" si="87"/>
        <v>20.874999999999737</v>
      </c>
      <c r="B237">
        <f t="shared" si="85"/>
        <v>0.10650118121917215</v>
      </c>
      <c r="C237">
        <f t="shared" si="86"/>
        <v>1.8550046743711156E-2</v>
      </c>
    </row>
    <row r="238" spans="1:3" x14ac:dyDescent="0.25">
      <c r="A238">
        <f t="shared" si="87"/>
        <v>20.899999999999736</v>
      </c>
      <c r="B238">
        <f t="shared" si="85"/>
        <v>0.10786026544882847</v>
      </c>
      <c r="C238">
        <f t="shared" si="86"/>
        <v>1.9164054517835163E-2</v>
      </c>
    </row>
    <row r="239" spans="1:3" x14ac:dyDescent="0.25">
      <c r="A239">
        <f t="shared" si="87"/>
        <v>20.924999999999734</v>
      </c>
      <c r="B239">
        <f t="shared" si="85"/>
        <v>0.10922128639574642</v>
      </c>
      <c r="C239">
        <f t="shared" si="86"/>
        <v>1.9794203768336661E-2</v>
      </c>
    </row>
    <row r="240" spans="1:3" x14ac:dyDescent="0.25">
      <c r="A240">
        <f t="shared" si="87"/>
        <v>20.949999999999733</v>
      </c>
      <c r="B240">
        <f t="shared" si="85"/>
        <v>0.11058388215658342</v>
      </c>
      <c r="C240">
        <f t="shared" si="86"/>
        <v>2.0440754653429569E-2</v>
      </c>
    </row>
    <row r="241" spans="1:3" x14ac:dyDescent="0.25">
      <c r="A241">
        <f t="shared" si="87"/>
        <v>20.974999999999731</v>
      </c>
      <c r="B241">
        <f t="shared" si="85"/>
        <v>0.11194768561686824</v>
      </c>
      <c r="C241">
        <f t="shared" si="86"/>
        <v>2.1103965293685689E-2</v>
      </c>
    </row>
    <row r="242" spans="1:3" x14ac:dyDescent="0.25">
      <c r="A242">
        <f t="shared" si="87"/>
        <v>20.99999999999973</v>
      </c>
      <c r="B242">
        <f t="shared" si="85"/>
        <v>0.11331232459438711</v>
      </c>
      <c r="C242">
        <f t="shared" si="86"/>
        <v>2.1784091483849414E-2</v>
      </c>
    </row>
    <row r="243" spans="1:3" x14ac:dyDescent="0.25">
      <c r="A243">
        <f t="shared" si="87"/>
        <v>21.024999999999729</v>
      </c>
      <c r="B243">
        <f t="shared" si="85"/>
        <v>0.11467742198794356</v>
      </c>
      <c r="C243">
        <f t="shared" si="86"/>
        <v>2.2481386397767963E-2</v>
      </c>
    </row>
    <row r="244" spans="1:3" x14ac:dyDescent="0.25">
      <c r="A244">
        <f t="shared" si="87"/>
        <v>21.049999999999727</v>
      </c>
      <c r="B244">
        <f t="shared" si="85"/>
        <v>0.11604259593143237</v>
      </c>
      <c r="C244">
        <f t="shared" si="86"/>
        <v>2.319610028659309E-2</v>
      </c>
    </row>
    <row r="245" spans="1:3" x14ac:dyDescent="0.25">
      <c r="A245">
        <f t="shared" si="87"/>
        <v>21.074999999999726</v>
      </c>
      <c r="B245">
        <f t="shared" si="85"/>
        <v>0.11740745995316093</v>
      </c>
      <c r="C245">
        <f t="shared" si="86"/>
        <v>2.3928480170426598E-2</v>
      </c>
    </row>
    <row r="246" spans="1:3" x14ac:dyDescent="0.25">
      <c r="A246">
        <f t="shared" si="87"/>
        <v>21.099999999999724</v>
      </c>
      <c r="B246">
        <f t="shared" si="85"/>
        <v>0.11877162314034545</v>
      </c>
      <c r="C246">
        <f t="shared" si="86"/>
        <v>2.4678769523596555E-2</v>
      </c>
    </row>
    <row r="247" spans="1:3" x14ac:dyDescent="0.25">
      <c r="A247">
        <f t="shared" si="87"/>
        <v>21.124999999999723</v>
      </c>
      <c r="B247">
        <f t="shared" si="85"/>
        <v>0.1201346903087037</v>
      </c>
      <c r="C247">
        <f t="shared" si="86"/>
        <v>2.5447207953766805E-2</v>
      </c>
    </row>
    <row r="248" spans="1:3" x14ac:dyDescent="0.25">
      <c r="A248">
        <f t="shared" si="87"/>
        <v>21.149999999999721</v>
      </c>
      <c r="B248">
        <f t="shared" si="85"/>
        <v>0.12149626217706022</v>
      </c>
      <c r="C248">
        <f t="shared" si="86"/>
        <v>2.6234030875098544E-2</v>
      </c>
    </row>
    <row r="249" spans="1:3" x14ac:dyDescent="0.25">
      <c r="A249">
        <f t="shared" si="87"/>
        <v>21.17499999999972</v>
      </c>
      <c r="B249">
        <f t="shared" si="85"/>
        <v>0.12285593554687292</v>
      </c>
      <c r="C249">
        <f t="shared" si="86"/>
        <v>2.7039469175697488E-2</v>
      </c>
    </row>
    <row r="250" spans="1:3" x14ac:dyDescent="0.25">
      <c r="A250">
        <f t="shared" si="87"/>
        <v>21.199999999999719</v>
      </c>
      <c r="B250">
        <f t="shared" si="85"/>
        <v>0.12421330348658555</v>
      </c>
      <c r="C250">
        <f t="shared" si="86"/>
        <v>2.786374887959742E-2</v>
      </c>
    </row>
    <row r="251" spans="1:3" x14ac:dyDescent="0.25">
      <c r="A251">
        <f t="shared" si="87"/>
        <v>21.224999999999717</v>
      </c>
      <c r="B251">
        <f t="shared" si="85"/>
        <v>0.12556795552070307</v>
      </c>
      <c r="C251">
        <f t="shared" si="86"/>
        <v>2.8707090803545589E-2</v>
      </c>
    </row>
    <row r="252" spans="1:3" x14ac:dyDescent="0.25">
      <c r="A252">
        <f t="shared" si="87"/>
        <v>21.249999999999716</v>
      </c>
      <c r="B252">
        <f t="shared" si="85"/>
        <v>0.12691947782348281</v>
      </c>
      <c r="C252">
        <f t="shared" si="86"/>
        <v>2.9569710208872207E-2</v>
      </c>
    </row>
    <row r="253" spans="1:3" x14ac:dyDescent="0.25">
      <c r="A253">
        <f t="shared" si="87"/>
        <v>21.274999999999714</v>
      </c>
      <c r="B253">
        <f t="shared" si="85"/>
        <v>0.12826745341712659</v>
      </c>
      <c r="C253">
        <f t="shared" si="86"/>
        <v>3.045181644874214E-2</v>
      </c>
    </row>
    <row r="254" spans="1:3" x14ac:dyDescent="0.25">
      <c r="A254">
        <f t="shared" si="87"/>
        <v>21.299999999999713</v>
      </c>
      <c r="B254">
        <f t="shared" si="85"/>
        <v>0.12961146237435497</v>
      </c>
      <c r="C254">
        <f t="shared" si="86"/>
        <v>3.135361261110254E-2</v>
      </c>
    </row>
    <row r="255" spans="1:3" x14ac:dyDescent="0.25">
      <c r="A255">
        <f t="shared" si="87"/>
        <v>21.324999999999712</v>
      </c>
      <c r="B255">
        <f t="shared" si="85"/>
        <v>0.13095108202523847</v>
      </c>
      <c r="C255">
        <f t="shared" si="86"/>
        <v>3.2275295157656807E-2</v>
      </c>
    </row>
    <row r="256" spans="1:3" x14ac:dyDescent="0.25">
      <c r="A256">
        <f t="shared" si="87"/>
        <v>21.34999999999971</v>
      </c>
      <c r="B256">
        <f t="shared" si="85"/>
        <v>0.13228588716815448</v>
      </c>
      <c r="C256">
        <f t="shared" si="86"/>
        <v>3.3217053559210015E-2</v>
      </c>
    </row>
    <row r="257" spans="1:3" x14ac:dyDescent="0.25">
      <c r="A257">
        <f t="shared" si="87"/>
        <v>21.374999999999709</v>
      </c>
      <c r="B257">
        <f t="shared" si="85"/>
        <v>0.13361545028473404</v>
      </c>
      <c r="C257">
        <f t="shared" si="86"/>
        <v>3.4179069927748044E-2</v>
      </c>
    </row>
    <row r="258" spans="1:3" x14ac:dyDescent="0.25">
      <c r="A258">
        <f t="shared" si="87"/>
        <v>21.399999999999707</v>
      </c>
      <c r="B258">
        <f t="shared" si="85"/>
        <v>0.1349393417586571</v>
      </c>
      <c r="C258">
        <f t="shared" si="86"/>
        <v>3.5161518645626826E-2</v>
      </c>
    </row>
    <row r="259" spans="1:3" x14ac:dyDescent="0.25">
      <c r="A259">
        <f t="shared" si="87"/>
        <v>21.424999999999706</v>
      </c>
      <c r="B259">
        <f t="shared" ref="B259:B322" si="93">_xlfn.NORM.DIST(A259,23.135,2.105,0)</f>
        <v>0.13625713009814897</v>
      </c>
      <c r="C259">
        <f t="shared" ref="C259:C322" si="94">_xlfn.NORM.DIST(A259,24.741,1.72,0)</f>
        <v>3.6164565992264537E-2</v>
      </c>
    </row>
    <row r="260" spans="1:3" x14ac:dyDescent="0.25">
      <c r="A260">
        <f t="shared" ref="A260:A323" si="95">A259+0.025</f>
        <v>21.449999999999704</v>
      </c>
      <c r="B260">
        <f t="shared" si="93"/>
        <v>0.13756838216202585</v>
      </c>
      <c r="C260">
        <f t="shared" si="94"/>
        <v>3.7188369768744234E-2</v>
      </c>
    </row>
    <row r="261" spans="1:3" x14ac:dyDescent="0.25">
      <c r="A261">
        <f t="shared" si="95"/>
        <v>21.474999999999703</v>
      </c>
      <c r="B261">
        <f t="shared" si="93"/>
        <v>0.13887266338913332</v>
      </c>
      <c r="C261">
        <f t="shared" si="94"/>
        <v>3.8233078920749342E-2</v>
      </c>
    </row>
    <row r="262" spans="1:3" x14ac:dyDescent="0.25">
      <c r="A262">
        <f t="shared" si="95"/>
        <v>21.499999999999702</v>
      </c>
      <c r="B262">
        <f t="shared" si="93"/>
        <v>0.1401695380310144</v>
      </c>
      <c r="C262">
        <f t="shared" si="94"/>
        <v>3.9298833160269157E-2</v>
      </c>
    </row>
    <row r="263" spans="1:3" x14ac:dyDescent="0.25">
      <c r="A263">
        <f t="shared" si="95"/>
        <v>21.5249999999997</v>
      </c>
      <c r="B263">
        <f t="shared" si="93"/>
        <v>0.14145856938764181</v>
      </c>
      <c r="C263">
        <f t="shared" si="94"/>
        <v>4.0385762586525639E-2</v>
      </c>
    </row>
    <row r="264" spans="1:3" x14ac:dyDescent="0.25">
      <c r="A264">
        <f t="shared" si="95"/>
        <v>21.549999999999699</v>
      </c>
      <c r="B264">
        <f t="shared" si="93"/>
        <v>0.1427393200460422</v>
      </c>
      <c r="C264">
        <f t="shared" si="94"/>
        <v>4.1493987306586884E-2</v>
      </c>
    </row>
    <row r="265" spans="1:3" x14ac:dyDescent="0.25">
      <c r="A265">
        <f t="shared" si="95"/>
        <v>21.574999999999697</v>
      </c>
      <c r="B265">
        <f t="shared" si="93"/>
        <v>0.14401135212163652</v>
      </c>
      <c r="C265">
        <f t="shared" si="94"/>
        <v>4.2623617056145695E-2</v>
      </c>
    </row>
    <row r="266" spans="1:3" x14ac:dyDescent="0.25">
      <c r="A266">
        <f t="shared" si="95"/>
        <v>21.599999999999696</v>
      </c>
      <c r="B266">
        <f t="shared" si="93"/>
        <v>0.14527422750211702</v>
      </c>
      <c r="C266">
        <f t="shared" si="94"/>
        <v>4.3774750820955458E-2</v>
      </c>
    </row>
    <row r="267" spans="1:3" x14ac:dyDescent="0.25">
      <c r="A267">
        <f t="shared" si="95"/>
        <v>21.624999999999694</v>
      </c>
      <c r="B267">
        <f t="shared" si="93"/>
        <v>0.14652750809367596</v>
      </c>
      <c r="C267">
        <f t="shared" si="94"/>
        <v>4.4947476459427198E-2</v>
      </c>
    </row>
    <row r="268" spans="1:3" x14ac:dyDescent="0.25">
      <c r="A268">
        <f t="shared" si="95"/>
        <v>21.649999999999693</v>
      </c>
      <c r="B268">
        <f t="shared" si="93"/>
        <v>0.14777075606939749</v>
      </c>
      <c r="C268">
        <f t="shared" si="94"/>
        <v>4.6141870326904547E-2</v>
      </c>
    </row>
    <row r="269" spans="1:3" x14ac:dyDescent="0.25">
      <c r="A269">
        <f t="shared" si="95"/>
        <v>21.674999999999692</v>
      </c>
      <c r="B269">
        <f t="shared" si="93"/>
        <v>0.14900353411962156</v>
      </c>
      <c r="C269">
        <f t="shared" si="94"/>
        <v>4.7357996902144248E-2</v>
      </c>
    </row>
    <row r="270" spans="1:3" x14ac:dyDescent="0.25">
      <c r="A270">
        <f t="shared" si="95"/>
        <v>21.69999999999969</v>
      </c>
      <c r="B270">
        <f t="shared" si="93"/>
        <v>0.15022540570408294</v>
      </c>
      <c r="C270">
        <f t="shared" si="94"/>
        <v>4.8595908416541087E-2</v>
      </c>
    </row>
    <row r="271" spans="1:3" x14ac:dyDescent="0.25">
      <c r="A271">
        <f t="shared" si="95"/>
        <v>21.724999999999689</v>
      </c>
      <c r="B271">
        <f t="shared" si="93"/>
        <v>0.15143593530562696</v>
      </c>
      <c r="C271">
        <f t="shared" si="94"/>
        <v>4.9855644486646082E-2</v>
      </c>
    </row>
    <row r="272" spans="1:3" x14ac:dyDescent="0.25">
      <c r="A272">
        <f t="shared" si="95"/>
        <v>21.749999999999687</v>
      </c>
      <c r="B272">
        <f t="shared" si="93"/>
        <v>0.15263468868529922</v>
      </c>
      <c r="C272">
        <f t="shared" si="94"/>
        <v>5.1137231750536964E-2</v>
      </c>
    </row>
    <row r="273" spans="1:3" x14ac:dyDescent="0.25">
      <c r="A273">
        <f t="shared" si="95"/>
        <v>21.774999999999686</v>
      </c>
      <c r="B273">
        <f t="shared" si="93"/>
        <v>0.15382123313860388</v>
      </c>
      <c r="C273">
        <f t="shared" si="94"/>
        <v>5.2440683508607817E-2</v>
      </c>
    </row>
    <row r="274" spans="1:3" x14ac:dyDescent="0.25">
      <c r="A274">
        <f t="shared" si="95"/>
        <v>21.799999999999685</v>
      </c>
      <c r="B274">
        <f t="shared" si="93"/>
        <v>0.15499513775272197</v>
      </c>
      <c r="C274">
        <f t="shared" si="94"/>
        <v>5.3765999369354035E-2</v>
      </c>
    </row>
    <row r="275" spans="1:3" x14ac:dyDescent="0.25">
      <c r="A275">
        <f t="shared" si="95"/>
        <v>21.824999999999683</v>
      </c>
      <c r="B275">
        <f t="shared" si="93"/>
        <v>0.1561559736644795</v>
      </c>
      <c r="C275">
        <f t="shared" si="94"/>
        <v>5.5113164900735367E-2</v>
      </c>
    </row>
    <row r="276" spans="1:3" x14ac:dyDescent="0.25">
      <c r="A276">
        <f t="shared" si="95"/>
        <v>21.849999999999682</v>
      </c>
      <c r="B276">
        <f t="shared" si="93"/>
        <v>0.15730331431885111</v>
      </c>
      <c r="C276">
        <f t="shared" si="94"/>
        <v>5.6482151287706922E-2</v>
      </c>
    </row>
    <row r="277" spans="1:3" x14ac:dyDescent="0.25">
      <c r="A277">
        <f t="shared" si="95"/>
        <v>21.87499999999968</v>
      </c>
      <c r="B277">
        <f t="shared" si="93"/>
        <v>0.15843673572778466</v>
      </c>
      <c r="C277">
        <f t="shared" si="94"/>
        <v>5.787291499651287E-2</v>
      </c>
    </row>
    <row r="278" spans="1:3" x14ac:dyDescent="0.25">
      <c r="A278">
        <f t="shared" si="95"/>
        <v>21.899999999999679</v>
      </c>
      <c r="B278">
        <f t="shared" si="93"/>
        <v>0.15955581672912869</v>
      </c>
      <c r="C278">
        <f t="shared" si="94"/>
        <v>5.9285397446343924E-2</v>
      </c>
    </row>
    <row r="279" spans="1:3" x14ac:dyDescent="0.25">
      <c r="A279">
        <f t="shared" si="95"/>
        <v>21.924999999999677</v>
      </c>
      <c r="B279">
        <f t="shared" si="93"/>
        <v>0.16066013924544392</v>
      </c>
      <c r="C279">
        <f t="shared" si="94"/>
        <v>6.0719524688961815E-2</v>
      </c>
    </row>
    <row r="280" spans="1:3" x14ac:dyDescent="0.25">
      <c r="A280">
        <f t="shared" si="95"/>
        <v>21.949999999999676</v>
      </c>
      <c r="B280">
        <f t="shared" si="93"/>
        <v>0.16174928854247825</v>
      </c>
      <c r="C280">
        <f t="shared" si="94"/>
        <v>6.2175207096898506E-2</v>
      </c>
    </row>
    <row r="281" spans="1:3" x14ac:dyDescent="0.25">
      <c r="A281">
        <f t="shared" si="95"/>
        <v>21.974999999999675</v>
      </c>
      <c r="B281">
        <f t="shared" si="93"/>
        <v>0.16282285348708295</v>
      </c>
      <c r="C281">
        <f t="shared" si="94"/>
        <v>6.3652339060839197E-2</v>
      </c>
    </row>
    <row r="282" spans="1:3" x14ac:dyDescent="0.25">
      <c r="A282">
        <f t="shared" si="95"/>
        <v>21.999999999999673</v>
      </c>
      <c r="B282">
        <f t="shared" si="93"/>
        <v>0.16388042680434792</v>
      </c>
      <c r="C282">
        <f t="shared" si="94"/>
        <v>6.5150798696799184E-2</v>
      </c>
    </row>
    <row r="283" spans="1:3" x14ac:dyDescent="0.25">
      <c r="A283">
        <f t="shared" si="95"/>
        <v>22.024999999999672</v>
      </c>
      <c r="B283">
        <f t="shared" si="93"/>
        <v>0.16492160533373132</v>
      </c>
      <c r="C283">
        <f t="shared" si="94"/>
        <v>6.667044756370509E-2</v>
      </c>
    </row>
    <row r="284" spans="1:3" x14ac:dyDescent="0.25">
      <c r="A284">
        <f t="shared" si="95"/>
        <v>22.04999999999967</v>
      </c>
      <c r="B284">
        <f t="shared" si="93"/>
        <v>0.1659459902839609</v>
      </c>
      <c r="C284">
        <f t="shared" si="94"/>
        <v>6.8211130391989783E-2</v>
      </c>
    </row>
    <row r="285" spans="1:3" x14ac:dyDescent="0.25">
      <c r="A285">
        <f t="shared" si="95"/>
        <v>22.074999999999669</v>
      </c>
      <c r="B285">
        <f t="shared" si="93"/>
        <v>0.16695318748648108</v>
      </c>
      <c r="C285">
        <f t="shared" si="94"/>
        <v>6.9772674823808029E-2</v>
      </c>
    </row>
    <row r="286" spans="1:3" x14ac:dyDescent="0.25">
      <c r="A286">
        <f t="shared" si="95"/>
        <v>22.099999999999667</v>
      </c>
      <c r="B286">
        <f t="shared" si="93"/>
        <v>0.16794280764722261</v>
      </c>
      <c r="C286">
        <f t="shared" si="94"/>
        <v>7.1354891165477011E-2</v>
      </c>
    </row>
    <row r="287" spans="1:3" x14ac:dyDescent="0.25">
      <c r="A287">
        <f t="shared" si="95"/>
        <v>22.124999999999666</v>
      </c>
      <c r="B287">
        <f t="shared" si="93"/>
        <v>0.16891446659647022</v>
      </c>
      <c r="C287">
        <f t="shared" si="94"/>
        <v>7.2957572152741582E-2</v>
      </c>
    </row>
    <row r="288" spans="1:3" x14ac:dyDescent="0.25">
      <c r="A288">
        <f t="shared" si="95"/>
        <v>22.149999999999665</v>
      </c>
      <c r="B288">
        <f t="shared" si="93"/>
        <v>0.16986778553660464</v>
      </c>
      <c r="C288">
        <f t="shared" si="94"/>
        <v>7.4580492729458769E-2</v>
      </c>
    </row>
    <row r="289" spans="1:3" x14ac:dyDescent="0.25">
      <c r="A289">
        <f t="shared" si="95"/>
        <v>22.174999999999663</v>
      </c>
      <c r="B289">
        <f t="shared" si="93"/>
        <v>0.17080239128749583</v>
      </c>
      <c r="C289">
        <f t="shared" si="94"/>
        <v>7.6223409840289164E-2</v>
      </c>
    </row>
    <row r="290" spans="1:3" x14ac:dyDescent="0.25">
      <c r="A290">
        <f t="shared" si="95"/>
        <v>22.199999999999662</v>
      </c>
      <c r="B290">
        <f t="shared" si="93"/>
        <v>0.17171791652932669</v>
      </c>
      <c r="C290">
        <f t="shared" si="94"/>
        <v>7.7886062237975659E-2</v>
      </c>
    </row>
    <row r="291" spans="1:3" x14ac:dyDescent="0.25">
      <c r="A291">
        <f t="shared" si="95"/>
        <v>22.22499999999966</v>
      </c>
      <c r="B291">
        <f t="shared" si="93"/>
        <v>0.17261400004262509</v>
      </c>
      <c r="C291">
        <f t="shared" si="94"/>
        <v>7.9568170305780964E-2</v>
      </c>
    </row>
    <row r="292" spans="1:3" x14ac:dyDescent="0.25">
      <c r="A292">
        <f t="shared" si="95"/>
        <v>22.249999999999659</v>
      </c>
      <c r="B292">
        <f t="shared" si="93"/>
        <v>0.17349028694528668</v>
      </c>
      <c r="C292">
        <f t="shared" si="94"/>
        <v>8.1269435895645017E-2</v>
      </c>
    </row>
    <row r="293" spans="1:3" x14ac:dyDescent="0.25">
      <c r="A293">
        <f t="shared" si="95"/>
        <v>22.274999999999658</v>
      </c>
      <c r="B293">
        <f t="shared" si="93"/>
        <v>0.17434642892637017</v>
      </c>
      <c r="C293">
        <f t="shared" si="94"/>
        <v>8.2989542182612702E-2</v>
      </c>
    </row>
    <row r="294" spans="1:3" x14ac:dyDescent="0.25">
      <c r="A294">
        <f t="shared" si="95"/>
        <v>22.299999999999656</v>
      </c>
      <c r="B294">
        <f t="shared" si="93"/>
        <v>0.17518208447645076</v>
      </c>
      <c r="C294">
        <f t="shared" si="94"/>
        <v>8.4728153536069759E-2</v>
      </c>
    </row>
    <row r="295" spans="1:3" x14ac:dyDescent="0.25">
      <c r="A295">
        <f t="shared" si="95"/>
        <v>22.324999999999655</v>
      </c>
      <c r="B295">
        <f t="shared" si="93"/>
        <v>0.17599691911431789</v>
      </c>
      <c r="C295">
        <f t="shared" si="94"/>
        <v>8.6484915408310853E-2</v>
      </c>
    </row>
    <row r="296" spans="1:3" x14ac:dyDescent="0.25">
      <c r="A296">
        <f t="shared" si="95"/>
        <v>22.349999999999653</v>
      </c>
      <c r="B296">
        <f t="shared" si="93"/>
        <v>0.176790605609808</v>
      </c>
      <c r="C296">
        <f t="shared" si="94"/>
        <v>8.8259454240949539E-2</v>
      </c>
    </row>
    <row r="297" spans="1:3" x14ac:dyDescent="0.25">
      <c r="A297">
        <f t="shared" si="95"/>
        <v>22.374999999999652</v>
      </c>
      <c r="B297">
        <f t="shared" si="93"/>
        <v>0.17756282420256383</v>
      </c>
      <c r="C297">
        <f t="shared" si="94"/>
        <v>9.005137738966372E-2</v>
      </c>
    </row>
    <row r="298" spans="1:3" x14ac:dyDescent="0.25">
      <c r="A298">
        <f t="shared" si="95"/>
        <v>22.39999999999965</v>
      </c>
      <c r="B298">
        <f t="shared" si="93"/>
        <v>0.1783132628165166</v>
      </c>
      <c r="C298">
        <f t="shared" si="94"/>
        <v>9.1860273067753018E-2</v>
      </c>
    </row>
    <row r="299" spans="1:3" x14ac:dyDescent="0.25">
      <c r="A299">
        <f t="shared" si="95"/>
        <v>22.424999999999649</v>
      </c>
      <c r="B299">
        <f t="shared" si="93"/>
        <v>0.17904161726988918</v>
      </c>
      <c r="C299">
        <f t="shared" si="94"/>
        <v>9.368571030896615E-2</v>
      </c>
    </row>
    <row r="300" spans="1:3" x14ac:dyDescent="0.25">
      <c r="A300">
        <f t="shared" si="95"/>
        <v>22.449999999999648</v>
      </c>
      <c r="B300">
        <f t="shared" si="93"/>
        <v>0.17974759148052297</v>
      </c>
      <c r="C300">
        <f t="shared" si="94"/>
        <v>9.5527238950037285E-2</v>
      </c>
    </row>
    <row r="301" spans="1:3" x14ac:dyDescent="0.25">
      <c r="A301">
        <f t="shared" si="95"/>
        <v>22.474999999999646</v>
      </c>
      <c r="B301">
        <f t="shared" si="93"/>
        <v>0.18043089766633461</v>
      </c>
      <c r="C301">
        <f t="shared" si="94"/>
        <v>9.7384389633349652E-2</v>
      </c>
    </row>
    <row r="302" spans="1:3" x14ac:dyDescent="0.25">
      <c r="A302">
        <f t="shared" si="95"/>
        <v>22.499999999999645</v>
      </c>
      <c r="B302">
        <f t="shared" si="93"/>
        <v>0.18109125654071273</v>
      </c>
      <c r="C302">
        <f t="shared" si="94"/>
        <v>9.9256673830122377E-2</v>
      </c>
    </row>
    <row r="303" spans="1:3" x14ac:dyDescent="0.25">
      <c r="A303">
        <f t="shared" si="95"/>
        <v>22.524999999999643</v>
      </c>
      <c r="B303">
        <f t="shared" si="93"/>
        <v>0.1817283975026687</v>
      </c>
      <c r="C303">
        <f t="shared" si="94"/>
        <v>0.10114358388449518</v>
      </c>
    </row>
    <row r="304" spans="1:3" x14ac:dyDescent="0.25">
      <c r="A304">
        <f t="shared" si="95"/>
        <v>22.549999999999642</v>
      </c>
      <c r="B304">
        <f t="shared" si="93"/>
        <v>0.18234205882156077</v>
      </c>
      <c r="C304">
        <f t="shared" si="94"/>
        <v>0.1030445930788598</v>
      </c>
    </row>
    <row r="305" spans="1:3" x14ac:dyDescent="0.25">
      <c r="A305">
        <f t="shared" si="95"/>
        <v>22.57499999999964</v>
      </c>
      <c r="B305">
        <f t="shared" si="93"/>
        <v>0.18293198781621478</v>
      </c>
      <c r="C305">
        <f t="shared" si="94"/>
        <v>0.10495915572076375</v>
      </c>
    </row>
    <row r="306" spans="1:3" x14ac:dyDescent="0.25">
      <c r="A306">
        <f t="shared" si="95"/>
        <v>22.599999999999639</v>
      </c>
      <c r="B306">
        <f t="shared" si="93"/>
        <v>0.18349794102827016</v>
      </c>
      <c r="C306">
        <f t="shared" si="94"/>
        <v>0.10688670725168459</v>
      </c>
    </row>
    <row r="307" spans="1:3" x14ac:dyDescent="0.25">
      <c r="A307">
        <f t="shared" si="95"/>
        <v>22.624999999999638</v>
      </c>
      <c r="B307">
        <f t="shared" si="93"/>
        <v>0.18403968438958451</v>
      </c>
      <c r="C307">
        <f t="shared" si="94"/>
        <v>0.10882666437794734</v>
      </c>
    </row>
    <row r="308" spans="1:3" x14ac:dyDescent="0.25">
      <c r="A308">
        <f t="shared" si="95"/>
        <v>22.649999999999636</v>
      </c>
      <c r="B308">
        <f t="shared" si="93"/>
        <v>0.18455699338353584</v>
      </c>
      <c r="C308">
        <f t="shared" si="94"/>
        <v>0.11077842522402828</v>
      </c>
    </row>
    <row r="309" spans="1:3" x14ac:dyDescent="0.25">
      <c r="A309">
        <f t="shared" si="95"/>
        <v>22.674999999999635</v>
      </c>
      <c r="B309">
        <f t="shared" si="93"/>
        <v>0.18504965320006689</v>
      </c>
      <c r="C309">
        <f t="shared" si="94"/>
        <v>0.11274136950846077</v>
      </c>
    </row>
    <row r="310" spans="1:3" x14ac:dyDescent="0.25">
      <c r="A310">
        <f t="shared" si="95"/>
        <v>22.699999999999633</v>
      </c>
      <c r="B310">
        <f t="shared" si="93"/>
        <v>0.18551745888432158</v>
      </c>
      <c r="C310">
        <f t="shared" si="94"/>
        <v>0.11471485874252764</v>
      </c>
    </row>
    <row r="311" spans="1:3" x14ac:dyDescent="0.25">
      <c r="A311">
        <f t="shared" si="95"/>
        <v>22.724999999999632</v>
      </c>
      <c r="B311">
        <f t="shared" si="93"/>
        <v>0.18596021547872971</v>
      </c>
      <c r="C311">
        <f t="shared" si="94"/>
        <v>0.11669823645189545</v>
      </c>
    </row>
    <row r="312" spans="1:3" x14ac:dyDescent="0.25">
      <c r="A312">
        <f t="shared" si="95"/>
        <v>22.749999999999631</v>
      </c>
      <c r="B312">
        <f t="shared" si="93"/>
        <v>0.18637773815840197</v>
      </c>
      <c r="C312">
        <f t="shared" si="94"/>
        <v>0.11869082842131318</v>
      </c>
    </row>
    <row r="313" spans="1:3" x14ac:dyDescent="0.25">
      <c r="A313">
        <f t="shared" si="95"/>
        <v>22.774999999999629</v>
      </c>
      <c r="B313">
        <f t="shared" si="93"/>
        <v>0.18676985235970381</v>
      </c>
      <c r="C313">
        <f t="shared" si="94"/>
        <v>0.12069194296246649</v>
      </c>
    </row>
    <row r="314" spans="1:3" x14ac:dyDescent="0.25">
      <c r="A314">
        <f t="shared" si="95"/>
        <v>22.799999999999628</v>
      </c>
      <c r="B314">
        <f t="shared" si="93"/>
        <v>0.18713639390188247</v>
      </c>
      <c r="C314">
        <f t="shared" si="94"/>
        <v>0.12270087120504546</v>
      </c>
    </row>
    <row r="315" spans="1:3" x14ac:dyDescent="0.25">
      <c r="A315">
        <f t="shared" si="95"/>
        <v>22.824999999999626</v>
      </c>
      <c r="B315">
        <f t="shared" si="93"/>
        <v>0.18747720910162929</v>
      </c>
      <c r="C315">
        <f t="shared" si="94"/>
        <v>0.12471688741105003</v>
      </c>
    </row>
    <row r="316" spans="1:3" x14ac:dyDescent="0.25">
      <c r="A316">
        <f t="shared" si="95"/>
        <v>22.849999999999625</v>
      </c>
      <c r="B316">
        <f t="shared" si="93"/>
        <v>0.18779215488046475</v>
      </c>
      <c r="C316">
        <f t="shared" si="94"/>
        <v>0.12673924931232344</v>
      </c>
    </row>
    <row r="317" spans="1:3" x14ac:dyDescent="0.25">
      <c r="A317">
        <f t="shared" si="95"/>
        <v>22.874999999999623</v>
      </c>
      <c r="B317">
        <f t="shared" si="93"/>
        <v>0.18808109886484173</v>
      </c>
      <c r="C317">
        <f t="shared" si="94"/>
        <v>0.12876719847126863</v>
      </c>
    </row>
    <row r="318" spans="1:3" x14ac:dyDescent="0.25">
      <c r="A318">
        <f t="shared" si="95"/>
        <v>22.899999999999622</v>
      </c>
      <c r="B318">
        <f t="shared" si="93"/>
        <v>0.18834391947886811</v>
      </c>
      <c r="C318">
        <f t="shared" si="94"/>
        <v>0.13079996066466795</v>
      </c>
    </row>
    <row r="319" spans="1:3" x14ac:dyDescent="0.25">
      <c r="A319">
        <f t="shared" si="95"/>
        <v>22.924999999999621</v>
      </c>
      <c r="B319">
        <f t="shared" si="93"/>
        <v>0.18858050602955906</v>
      </c>
      <c r="C319">
        <f t="shared" si="94"/>
        <v>0.13283674629048997</v>
      </c>
    </row>
    <row r="320" spans="1:3" x14ac:dyDescent="0.25">
      <c r="A320">
        <f t="shared" si="95"/>
        <v>22.949999999999619</v>
      </c>
      <c r="B320">
        <f t="shared" si="93"/>
        <v>0.18879075878453402</v>
      </c>
      <c r="C320">
        <f t="shared" si="94"/>
        <v>0.13487675079753203</v>
      </c>
    </row>
    <row r="321" spans="1:3" x14ac:dyDescent="0.25">
      <c r="A321">
        <f t="shared" si="95"/>
        <v>22.974999999999618</v>
      </c>
      <c r="B321">
        <f t="shared" si="93"/>
        <v>0.188974589042083</v>
      </c>
      <c r="C321">
        <f t="shared" si="94"/>
        <v>0.13691915513771011</v>
      </c>
    </row>
    <row r="322" spans="1:3" x14ac:dyDescent="0.25">
      <c r="A322">
        <f t="shared" si="95"/>
        <v>22.999999999999616</v>
      </c>
      <c r="B322">
        <f t="shared" si="93"/>
        <v>0.18913191919353273</v>
      </c>
      <c r="C322">
        <f t="shared" si="94"/>
        <v>0.1389631262407704</v>
      </c>
    </row>
    <row r="323" spans="1:3" x14ac:dyDescent="0.25">
      <c r="A323">
        <f t="shared" si="95"/>
        <v>23.024999999999615</v>
      </c>
      <c r="B323">
        <f t="shared" ref="B323:B386" si="96">_xlfn.NORM.DIST(A323,23.135,2.105,0)</f>
        <v>0.18926268277785138</v>
      </c>
      <c r="C323">
        <f t="shared" ref="C323:C386" si="97">_xlfn.NORM.DIST(A323,24.741,1.72,0)</f>
        <v>0.14100781751116165</v>
      </c>
    </row>
    <row r="324" spans="1:3" x14ac:dyDescent="0.25">
      <c r="A324">
        <f t="shared" ref="A324:A378" si="98">A323+0.025</f>
        <v>23.049999999999613</v>
      </c>
      <c r="B324">
        <f t="shared" si="96"/>
        <v>0.18936682452843834</v>
      </c>
      <c r="C324">
        <f t="shared" si="97"/>
        <v>0.14305236934676854</v>
      </c>
    </row>
    <row r="325" spans="1:3" x14ac:dyDescent="0.25">
      <c r="A325">
        <f t="shared" si="98"/>
        <v>23.074999999999612</v>
      </c>
      <c r="B325">
        <f t="shared" si="96"/>
        <v>0.18944430041205274</v>
      </c>
      <c r="C325">
        <f t="shared" si="97"/>
        <v>0.14509590967917069</v>
      </c>
    </row>
    <row r="326" spans="1:3" x14ac:dyDescent="0.25">
      <c r="A326">
        <f t="shared" si="98"/>
        <v>23.099999999999611</v>
      </c>
      <c r="B326">
        <f t="shared" si="96"/>
        <v>0.189495077659842</v>
      </c>
      <c r="C326">
        <f t="shared" si="97"/>
        <v>0.14713755453505384</v>
      </c>
    </row>
    <row r="327" spans="1:3" x14ac:dyDescent="0.25">
      <c r="A327">
        <f t="shared" si="98"/>
        <v>23.124999999999609</v>
      </c>
      <c r="B327">
        <f t="shared" si="96"/>
        <v>0.1895191347904405</v>
      </c>
      <c r="C327">
        <f t="shared" si="97"/>
        <v>0.1491764086183639</v>
      </c>
    </row>
    <row r="328" spans="1:3" x14ac:dyDescent="0.25">
      <c r="A328">
        <f t="shared" si="98"/>
        <v>23.149999999999608</v>
      </c>
      <c r="B328">
        <f t="shared" si="96"/>
        <v>0.18951646162511512</v>
      </c>
      <c r="C328">
        <f t="shared" si="97"/>
        <v>0.15121156591275633</v>
      </c>
    </row>
    <row r="329" spans="1:3" x14ac:dyDescent="0.25">
      <c r="A329">
        <f t="shared" si="98"/>
        <v>23.174999999999606</v>
      </c>
      <c r="B329">
        <f t="shared" si="96"/>
        <v>0.18948705929494253</v>
      </c>
      <c r="C329">
        <f t="shared" si="97"/>
        <v>0.15324211030385812</v>
      </c>
    </row>
    <row r="330" spans="1:3" x14ac:dyDescent="0.25">
      <c r="A330">
        <f t="shared" si="98"/>
        <v>23.199999999999605</v>
      </c>
      <c r="B330">
        <f t="shared" si="96"/>
        <v>0.18943094024001172</v>
      </c>
      <c r="C330">
        <f t="shared" si="97"/>
        <v>0.15526711622082293</v>
      </c>
    </row>
    <row r="331" spans="1:3" x14ac:dyDescent="0.25">
      <c r="A331">
        <f t="shared" si="98"/>
        <v>23.224999999999604</v>
      </c>
      <c r="B331">
        <f t="shared" si="96"/>
        <v>0.18934812820065208</v>
      </c>
      <c r="C331">
        <f t="shared" si="97"/>
        <v>0.15728564929662325</v>
      </c>
    </row>
    <row r="332" spans="1:3" x14ac:dyDescent="0.25">
      <c r="A332">
        <f t="shared" si="98"/>
        <v>23.249999999999602</v>
      </c>
      <c r="B332">
        <f t="shared" si="96"/>
        <v>0.18923865820069583</v>
      </c>
      <c r="C332">
        <f t="shared" si="97"/>
        <v>0.15929676704648982</v>
      </c>
    </row>
    <row r="333" spans="1:3" x14ac:dyDescent="0.25">
      <c r="A333">
        <f t="shared" si="98"/>
        <v>23.274999999999601</v>
      </c>
      <c r="B333">
        <f t="shared" si="96"/>
        <v>0.1891025765227915</v>
      </c>
      <c r="C333">
        <f t="shared" si="97"/>
        <v>0.16129951956387201</v>
      </c>
    </row>
    <row r="334" spans="1:3" x14ac:dyDescent="0.25">
      <c r="A334">
        <f t="shared" si="98"/>
        <v>23.299999999999599</v>
      </c>
      <c r="B334">
        <f t="shared" si="96"/>
        <v>0.18893994067579226</v>
      </c>
      <c r="C334">
        <f t="shared" si="97"/>
        <v>0.16329295023325882</v>
      </c>
    </row>
    <row r="335" spans="1:3" x14ac:dyDescent="0.25">
      <c r="A335">
        <f t="shared" si="98"/>
        <v>23.324999999999598</v>
      </c>
      <c r="B335">
        <f t="shared" si="96"/>
        <v>0.18875081935425223</v>
      </c>
      <c r="C335">
        <f t="shared" si="97"/>
        <v>0.16527609645916838</v>
      </c>
    </row>
    <row r="336" spans="1:3" x14ac:dyDescent="0.25">
      <c r="A336">
        <f t="shared" si="98"/>
        <v>23.349999999999596</v>
      </c>
      <c r="B336">
        <f t="shared" si="96"/>
        <v>0.18853529239006955</v>
      </c>
      <c r="C336">
        <f t="shared" si="97"/>
        <v>0.16724799041057775</v>
      </c>
    </row>
    <row r="337" spans="1:3" x14ac:dyDescent="0.25">
      <c r="A337">
        <f t="shared" si="98"/>
        <v>23.374999999999595</v>
      </c>
      <c r="B337">
        <f t="shared" si="96"/>
        <v>0.18829345069632503</v>
      </c>
      <c r="C337">
        <f t="shared" si="97"/>
        <v>0.16920765978003616</v>
      </c>
    </row>
    <row r="338" spans="1:3" x14ac:dyDescent="0.25">
      <c r="A338">
        <f t="shared" si="98"/>
        <v>23.399999999999594</v>
      </c>
      <c r="B338">
        <f t="shared" si="96"/>
        <v>0.18802539620337058</v>
      </c>
      <c r="C338">
        <f t="shared" si="97"/>
        <v>0.17115412855667095</v>
      </c>
    </row>
    <row r="339" spans="1:3" x14ac:dyDescent="0.25">
      <c r="A339">
        <f t="shared" si="98"/>
        <v>23.424999999999592</v>
      </c>
      <c r="B339">
        <f t="shared" si="96"/>
        <v>0.18773124178723119</v>
      </c>
      <c r="C339">
        <f t="shared" si="97"/>
        <v>0.17308641781226769</v>
      </c>
    </row>
    <row r="340" spans="1:3" x14ac:dyDescent="0.25">
      <c r="A340">
        <f t="shared" si="98"/>
        <v>23.449999999999591</v>
      </c>
      <c r="B340">
        <f t="shared" si="96"/>
        <v>0.18741111119039039</v>
      </c>
      <c r="C340">
        <f t="shared" si="97"/>
        <v>0.17500354649957431</v>
      </c>
    </row>
    <row r="341" spans="1:3" x14ac:dyDescent="0.25">
      <c r="A341">
        <f t="shared" si="98"/>
        <v>23.474999999999589</v>
      </c>
      <c r="B341">
        <f t="shared" si="96"/>
        <v>0.18706513893503721</v>
      </c>
      <c r="C341">
        <f t="shared" si="97"/>
        <v>0.17690453226195338</v>
      </c>
    </row>
    <row r="342" spans="1:3" x14ac:dyDescent="0.25">
      <c r="A342">
        <f t="shared" si="98"/>
        <v>23.499999999999588</v>
      </c>
      <c r="B342">
        <f t="shared" si="96"/>
        <v>0.18669347022885971</v>
      </c>
      <c r="C342">
        <f t="shared" si="97"/>
        <v>0.17878839225347848</v>
      </c>
    </row>
    <row r="343" spans="1:3" x14ac:dyDescent="0.25">
      <c r="A343">
        <f t="shared" si="98"/>
        <v>23.524999999999586</v>
      </c>
      <c r="B343">
        <f t="shared" si="96"/>
        <v>0.18629626086347736</v>
      </c>
      <c r="C343">
        <f t="shared" si="97"/>
        <v>0.18065414396854518</v>
      </c>
    </row>
    <row r="344" spans="1:3" x14ac:dyDescent="0.25">
      <c r="A344">
        <f t="shared" si="98"/>
        <v>23.549999999999585</v>
      </c>
      <c r="B344">
        <f t="shared" si="96"/>
        <v>0.18587367710561198</v>
      </c>
      <c r="C344">
        <f t="shared" si="97"/>
        <v>0.18250080608004304</v>
      </c>
    </row>
    <row r="345" spans="1:3" x14ac:dyDescent="0.25">
      <c r="A345">
        <f t="shared" si="98"/>
        <v>23.574999999999584</v>
      </c>
      <c r="B345">
        <f t="shared" si="96"/>
        <v>0.18542589558110334</v>
      </c>
      <c r="C345">
        <f t="shared" si="97"/>
        <v>0.18432739928511177</v>
      </c>
    </row>
    <row r="346" spans="1:3" x14ac:dyDescent="0.25">
      <c r="A346">
        <f t="shared" si="98"/>
        <v>23.599999999999582</v>
      </c>
      <c r="B346">
        <f t="shared" si="96"/>
        <v>0.1849531031518829</v>
      </c>
      <c r="C346">
        <f t="shared" si="97"/>
        <v>0.18613294715748352</v>
      </c>
    </row>
    <row r="347" spans="1:3" x14ac:dyDescent="0.25">
      <c r="A347">
        <f t="shared" si="98"/>
        <v>23.624999999999581</v>
      </c>
      <c r="B347">
        <f t="shared" si="96"/>
        <v>0.18445549678602571</v>
      </c>
      <c r="C347">
        <f t="shared" si="97"/>
        <v>0.18791647700539307</v>
      </c>
    </row>
    <row r="348" spans="1:3" x14ac:dyDescent="0.25">
      <c r="A348">
        <f t="shared" si="98"/>
        <v>23.649999999999579</v>
      </c>
      <c r="B348">
        <f t="shared" si="96"/>
        <v>0.18393328342100651</v>
      </c>
      <c r="C348">
        <f t="shared" si="97"/>
        <v>0.1896770207340181</v>
      </c>
    </row>
    <row r="349" spans="1:3" x14ac:dyDescent="0.25">
      <c r="A349">
        <f t="shared" si="98"/>
        <v>23.674999999999578</v>
      </c>
      <c r="B349">
        <f t="shared" si="96"/>
        <v>0.18338667982029355</v>
      </c>
      <c r="C349">
        <f t="shared" si="97"/>
        <v>0.19141361571139703</v>
      </c>
    </row>
    <row r="350" spans="1:3" x14ac:dyDescent="0.25">
      <c r="A350">
        <f t="shared" si="98"/>
        <v>23.699999999999577</v>
      </c>
      <c r="B350">
        <f t="shared" si="96"/>
        <v>0.18281591242341894</v>
      </c>
      <c r="C350">
        <f t="shared" si="97"/>
        <v>0.1931253056367539</v>
      </c>
    </row>
    <row r="351" spans="1:3" x14ac:dyDescent="0.25">
      <c r="A351">
        <f t="shared" si="98"/>
        <v>23.724999999999575</v>
      </c>
      <c r="B351">
        <f t="shared" si="96"/>
        <v>0.18222121718967041</v>
      </c>
      <c r="C351">
        <f t="shared" si="97"/>
        <v>0.19481114141014785</v>
      </c>
    </row>
    <row r="352" spans="1:3" x14ac:dyDescent="0.25">
      <c r="A352">
        <f t="shared" si="98"/>
        <v>23.749999999999574</v>
      </c>
      <c r="B352">
        <f t="shared" si="96"/>
        <v>0.18160283943555616</v>
      </c>
      <c r="C352">
        <f t="shared" si="97"/>
        <v>0.19647018200235217</v>
      </c>
    </row>
    <row r="353" spans="1:3" x14ac:dyDescent="0.25">
      <c r="A353">
        <f t="shared" si="98"/>
        <v>23.774999999999572</v>
      </c>
      <c r="B353">
        <f t="shared" si="96"/>
        <v>0.1809610336661987</v>
      </c>
      <c r="C353">
        <f t="shared" si="97"/>
        <v>0.19810149532385748</v>
      </c>
    </row>
    <row r="354" spans="1:3" x14ac:dyDescent="0.25">
      <c r="A354">
        <f t="shared" si="98"/>
        <v>23.799999999999571</v>
      </c>
      <c r="B354">
        <f t="shared" si="96"/>
        <v>0.18029606340082063</v>
      </c>
      <c r="C354">
        <f t="shared" si="97"/>
        <v>0.19970415909188541</v>
      </c>
    </row>
    <row r="355" spans="1:3" x14ac:dyDescent="0.25">
      <c r="A355">
        <f t="shared" si="98"/>
        <v>23.824999999999569</v>
      </c>
      <c r="B355">
        <f t="shared" si="96"/>
        <v>0.17960820099248931</v>
      </c>
      <c r="C355">
        <f t="shared" si="97"/>
        <v>0.20127726169429258</v>
      </c>
    </row>
    <row r="356" spans="1:3" x14ac:dyDescent="0.25">
      <c r="A356">
        <f t="shared" si="98"/>
        <v>23.849999999999568</v>
      </c>
      <c r="B356">
        <f t="shared" si="96"/>
        <v>0.1788977274422931</v>
      </c>
      <c r="C356">
        <f t="shared" si="97"/>
        <v>0.20281990304923952</v>
      </c>
    </row>
    <row r="357" spans="1:3" x14ac:dyDescent="0.25">
      <c r="A357">
        <f t="shared" si="98"/>
        <v>23.874999999999567</v>
      </c>
      <c r="B357">
        <f t="shared" si="96"/>
        <v>0.17816493220812668</v>
      </c>
      <c r="C357">
        <f t="shared" si="97"/>
        <v>0.20433119545949613</v>
      </c>
    </row>
    <row r="358" spans="1:3" x14ac:dyDescent="0.25">
      <c r="A358">
        <f t="shared" si="98"/>
        <v>23.899999999999565</v>
      </c>
      <c r="B358">
        <f t="shared" si="96"/>
        <v>0.17741011300826756</v>
      </c>
      <c r="C358">
        <f t="shared" si="97"/>
        <v>0.20581026446025541</v>
      </c>
    </row>
    <row r="359" spans="1:3" x14ac:dyDescent="0.25">
      <c r="A359">
        <f t="shared" si="98"/>
        <v>23.924999999999564</v>
      </c>
      <c r="B359">
        <f t="shared" si="96"/>
        <v>0.17663357561992979</v>
      </c>
      <c r="C359">
        <f t="shared" si="97"/>
        <v>0.20725624965932612</v>
      </c>
    </row>
    <row r="360" spans="1:3" x14ac:dyDescent="0.25">
      <c r="A360">
        <f t="shared" si="98"/>
        <v>23.949999999999562</v>
      </c>
      <c r="B360">
        <f t="shared" si="96"/>
        <v>0.17583563367298632</v>
      </c>
      <c r="C360">
        <f t="shared" si="97"/>
        <v>0.20866830556857974</v>
      </c>
    </row>
    <row r="361" spans="1:3" x14ac:dyDescent="0.25">
      <c r="A361">
        <f t="shared" si="98"/>
        <v>23.974999999999561</v>
      </c>
      <c r="B361">
        <f t="shared" si="96"/>
        <v>0.17501660843905403</v>
      </c>
      <c r="C361">
        <f t="shared" si="97"/>
        <v>0.21004560242553028</v>
      </c>
    </row>
    <row r="362" spans="1:3" x14ac:dyDescent="0.25">
      <c r="A362">
        <f t="shared" si="98"/>
        <v>23.999999999999559</v>
      </c>
      <c r="B362">
        <f t="shared" si="96"/>
        <v>0.17417682861613992</v>
      </c>
      <c r="C362">
        <f t="shared" si="97"/>
        <v>0.21138732700393331</v>
      </c>
    </row>
    <row r="363" spans="1:3" x14ac:dyDescent="0.25">
      <c r="A363">
        <f t="shared" si="98"/>
        <v>24.024999999999558</v>
      </c>
      <c r="B363">
        <f t="shared" si="96"/>
        <v>0.17331663010905066</v>
      </c>
      <c r="C363">
        <f t="shared" si="97"/>
        <v>0.21269268341229816</v>
      </c>
    </row>
    <row r="364" spans="1:3" x14ac:dyDescent="0.25">
      <c r="A364">
        <f t="shared" si="98"/>
        <v>24.049999999999557</v>
      </c>
      <c r="B364">
        <f t="shared" si="96"/>
        <v>0.1724363558057703</v>
      </c>
      <c r="C364">
        <f t="shared" si="97"/>
        <v>0.21396089387921874</v>
      </c>
    </row>
    <row r="365" spans="1:3" x14ac:dyDescent="0.25">
      <c r="A365">
        <f t="shared" si="98"/>
        <v>24.074999999999555</v>
      </c>
      <c r="B365">
        <f t="shared" si="96"/>
        <v>0.17153635535001416</v>
      </c>
      <c r="C365">
        <f t="shared" si="97"/>
        <v>0.21519119952444005</v>
      </c>
    </row>
    <row r="366" spans="1:3" x14ac:dyDescent="0.25">
      <c r="A366">
        <f t="shared" si="98"/>
        <v>24.099999999999554</v>
      </c>
      <c r="B366">
        <f t="shared" si="96"/>
        <v>0.17061698491017022</v>
      </c>
      <c r="C366">
        <f t="shared" si="97"/>
        <v>0.21638286111459215</v>
      </c>
    </row>
    <row r="367" spans="1:3" x14ac:dyDescent="0.25">
      <c r="A367">
        <f t="shared" si="98"/>
        <v>24.124999999999552</v>
      </c>
      <c r="B367">
        <f t="shared" si="96"/>
        <v>0.16967860694484077</v>
      </c>
      <c r="C367">
        <f t="shared" si="97"/>
        <v>0.21753515980253951</v>
      </c>
    </row>
    <row r="368" spans="1:3" x14ac:dyDescent="0.25">
      <c r="A368">
        <f t="shared" si="98"/>
        <v>24.149999999999551</v>
      </c>
      <c r="B368">
        <f t="shared" si="96"/>
        <v>0.16872158996520067</v>
      </c>
      <c r="C368">
        <f t="shared" si="97"/>
        <v>0.21864739784931253</v>
      </c>
    </row>
    <row r="369" spans="1:3" x14ac:dyDescent="0.25">
      <c r="A369">
        <f t="shared" si="98"/>
        <v>24.17499999999955</v>
      </c>
      <c r="B369">
        <f t="shared" si="96"/>
        <v>0.16774630829438897</v>
      </c>
      <c r="C369">
        <f t="shared" si="97"/>
        <v>0.21971889932760624</v>
      </c>
    </row>
    <row r="370" spans="1:3" x14ac:dyDescent="0.25">
      <c r="A370">
        <f t="shared" si="98"/>
        <v>24.199999999999548</v>
      </c>
      <c r="B370">
        <f t="shared" si="96"/>
        <v>0.16675314182415413</v>
      </c>
      <c r="C370">
        <f t="shared" si="97"/>
        <v>0.22074901080585516</v>
      </c>
    </row>
    <row r="371" spans="1:3" x14ac:dyDescent="0.25">
      <c r="A371">
        <f t="shared" si="98"/>
        <v>24.224999999999547</v>
      </c>
      <c r="B371">
        <f t="shared" si="96"/>
        <v>0.16574247576897269</v>
      </c>
      <c r="C371">
        <f t="shared" si="97"/>
        <v>0.22173710201191507</v>
      </c>
    </row>
    <row r="372" spans="1:3" x14ac:dyDescent="0.25">
      <c r="A372">
        <f t="shared" si="98"/>
        <v>24.249999999999545</v>
      </c>
      <c r="B372">
        <f t="shared" si="96"/>
        <v>0.16471470041786473</v>
      </c>
      <c r="C372">
        <f t="shared" si="97"/>
        <v>0.22268256647540968</v>
      </c>
    </row>
    <row r="373" spans="1:3" x14ac:dyDescent="0.25">
      <c r="A373">
        <f t="shared" si="98"/>
        <v>24.274999999999544</v>
      </c>
      <c r="B373">
        <f t="shared" si="96"/>
        <v>0.16367021088412761</v>
      </c>
      <c r="C373">
        <f t="shared" si="97"/>
        <v>0.22358482214782463</v>
      </c>
    </row>
    <row r="374" spans="1:3" x14ac:dyDescent="0.25">
      <c r="A374">
        <f t="shared" si="98"/>
        <v>24.299999999999542</v>
      </c>
      <c r="B374">
        <f t="shared" si="96"/>
        <v>0.16260940685321307</v>
      </c>
      <c r="C374">
        <f t="shared" si="97"/>
        <v>0.22444331199946349</v>
      </c>
    </row>
    <row r="375" spans="1:3" x14ac:dyDescent="0.25">
      <c r="A375">
        <f t="shared" si="98"/>
        <v>24.324999999999541</v>
      </c>
      <c r="B375">
        <f t="shared" si="96"/>
        <v>0.16153269232897119</v>
      </c>
      <c r="C375">
        <f t="shared" si="97"/>
        <v>0.22525750459240743</v>
      </c>
    </row>
    <row r="376" spans="1:3" x14ac:dyDescent="0.25">
      <c r="A376">
        <f t="shared" si="98"/>
        <v>24.34999999999954</v>
      </c>
      <c r="B376">
        <f t="shared" si="96"/>
        <v>0.1604404753784856</v>
      </c>
      <c r="C376">
        <f t="shared" si="97"/>
        <v>0.22602689462865486</v>
      </c>
    </row>
    <row r="377" spans="1:3" x14ac:dyDescent="0.25">
      <c r="A377">
        <f t="shared" si="98"/>
        <v>24.374999999999538</v>
      </c>
      <c r="B377">
        <f t="shared" si="96"/>
        <v>0.15933316787572471</v>
      </c>
      <c r="C377">
        <f t="shared" si="97"/>
        <v>0.2267510034726489</v>
      </c>
    </row>
    <row r="378" spans="1:3" x14ac:dyDescent="0.25">
      <c r="A378">
        <f t="shared" si="98"/>
        <v>24.399999999999537</v>
      </c>
      <c r="B378">
        <f t="shared" si="96"/>
        <v>0.1582111852442325</v>
      </c>
      <c r="C378">
        <f t="shared" si="97"/>
        <v>0.22742937964743726</v>
      </c>
    </row>
    <row r="379" spans="1:3" x14ac:dyDescent="0.25">
      <c r="A379">
        <f>A378+0.025</f>
        <v>24.424999999999535</v>
      </c>
      <c r="B379">
        <f t="shared" si="96"/>
        <v>0.15707494619908255</v>
      </c>
      <c r="C379">
        <f t="shared" si="97"/>
        <v>0.22806159930374367</v>
      </c>
    </row>
    <row r="380" spans="1:3" x14ac:dyDescent="0.25">
      <c r="A380">
        <f t="shared" ref="A380:A437" si="99">A379+0.025</f>
        <v>24.449999999999534</v>
      </c>
      <c r="B380">
        <f t="shared" si="96"/>
        <v>0.15592487248831832</v>
      </c>
      <c r="C380">
        <f t="shared" si="97"/>
        <v>0.2286472666612698</v>
      </c>
    </row>
    <row r="381" spans="1:3" x14ac:dyDescent="0.25">
      <c r="A381">
        <f t="shared" si="99"/>
        <v>24.474999999999532</v>
      </c>
      <c r="B381">
        <f t="shared" si="96"/>
        <v>0.15476138863410063</v>
      </c>
      <c r="C381">
        <f t="shared" si="97"/>
        <v>0.22918601442158323</v>
      </c>
    </row>
    <row r="382" spans="1:3" x14ac:dyDescent="0.25">
      <c r="A382">
        <f t="shared" si="99"/>
        <v>24.499999999999531</v>
      </c>
      <c r="B382">
        <f t="shared" si="96"/>
        <v>0.15358492167378338</v>
      </c>
      <c r="C382">
        <f t="shared" si="97"/>
        <v>0.22967750415198976</v>
      </c>
    </row>
    <row r="383" spans="1:3" x14ac:dyDescent="0.25">
      <c r="A383">
        <f t="shared" si="99"/>
        <v>24.52499999999953</v>
      </c>
      <c r="B383">
        <f t="shared" si="96"/>
        <v>0.15239590090113581</v>
      </c>
      <c r="C383">
        <f t="shared" si="97"/>
        <v>0.23012142663982751</v>
      </c>
    </row>
    <row r="384" spans="1:3" x14ac:dyDescent="0.25">
      <c r="A384">
        <f t="shared" si="99"/>
        <v>24.549999999999528</v>
      </c>
      <c r="B384">
        <f t="shared" si="96"/>
        <v>0.15119475760792872</v>
      </c>
      <c r="C384">
        <f t="shared" si="97"/>
        <v>0.23051750221666417</v>
      </c>
    </row>
    <row r="385" spans="1:3" x14ac:dyDescent="0.25">
      <c r="A385">
        <f t="shared" si="99"/>
        <v>24.574999999999527</v>
      </c>
      <c r="B385">
        <f t="shared" si="96"/>
        <v>0.14998192482609951</v>
      </c>
      <c r="C385">
        <f t="shared" si="97"/>
        <v>0.23086548105192128</v>
      </c>
    </row>
    <row r="386" spans="1:3" x14ac:dyDescent="0.25">
      <c r="A386">
        <f t="shared" si="99"/>
        <v>24.599999999999525</v>
      </c>
      <c r="B386">
        <f t="shared" si="96"/>
        <v>0.14875783707070883</v>
      </c>
      <c r="C386">
        <f t="shared" si="97"/>
        <v>0.23116514341549407</v>
      </c>
    </row>
    <row r="387" spans="1:3" x14ac:dyDescent="0.25">
      <c r="A387">
        <f t="shared" si="99"/>
        <v>24.624999999999524</v>
      </c>
      <c r="B387">
        <f t="shared" ref="B387:B450" si="100">_xlfn.NORM.DIST(A387,23.135,2.105,0)</f>
        <v>0.14752293008389963</v>
      </c>
      <c r="C387">
        <f t="shared" ref="C387:C450" si="101">_xlfn.NORM.DIST(A387,24.741,1.72,0)</f>
        <v>0.23141629990898077</v>
      </c>
    </row>
    <row r="388" spans="1:3" x14ac:dyDescent="0.25">
      <c r="A388">
        <f t="shared" si="99"/>
        <v>24.649999999999523</v>
      </c>
      <c r="B388">
        <f t="shared" si="100"/>
        <v>0.14627764058006582</v>
      </c>
      <c r="C388">
        <f t="shared" si="101"/>
        <v>0.23161879166517954</v>
      </c>
    </row>
    <row r="389" spans="1:3" x14ac:dyDescent="0.25">
      <c r="A389">
        <f t="shared" si="99"/>
        <v>24.674999999999521</v>
      </c>
      <c r="B389">
        <f t="shared" si="100"/>
        <v>0.14502240599243577</v>
      </c>
      <c r="C389">
        <f t="shared" si="101"/>
        <v>0.23177249051556087</v>
      </c>
    </row>
    <row r="390" spans="1:3" x14ac:dyDescent="0.25">
      <c r="A390">
        <f t="shared" si="99"/>
        <v>24.69999999999952</v>
      </c>
      <c r="B390">
        <f t="shared" si="100"/>
        <v>0.14375766422127245</v>
      </c>
      <c r="C390">
        <f t="shared" si="101"/>
        <v>0.2318772991254662</v>
      </c>
    </row>
    <row r="391" spans="1:3" x14ac:dyDescent="0.25">
      <c r="A391">
        <f t="shared" si="99"/>
        <v>24.724999999999518</v>
      </c>
      <c r="B391">
        <f t="shared" si="100"/>
        <v>0.14248385338388855</v>
      </c>
      <c r="C391">
        <f t="shared" si="101"/>
        <v>0.23193315109683446</v>
      </c>
    </row>
    <row r="392" spans="1:3" x14ac:dyDescent="0.25">
      <c r="A392">
        <f t="shared" si="99"/>
        <v>24.749999999999517</v>
      </c>
      <c r="B392">
        <f t="shared" si="100"/>
        <v>0.14120141156667179</v>
      </c>
      <c r="C392">
        <f t="shared" si="101"/>
        <v>0.23194001103830439</v>
      </c>
    </row>
    <row r="393" spans="1:3" x14ac:dyDescent="0.25">
      <c r="A393">
        <f t="shared" si="99"/>
        <v>24.774999999999515</v>
      </c>
      <c r="B393">
        <f t="shared" si="100"/>
        <v>0.13991077657931167</v>
      </c>
      <c r="C393">
        <f t="shared" si="101"/>
        <v>0.23189787460258907</v>
      </c>
    </row>
    <row r="394" spans="1:3" x14ac:dyDescent="0.25">
      <c r="A394">
        <f t="shared" si="99"/>
        <v>24.799999999999514</v>
      </c>
      <c r="B394">
        <f t="shared" si="100"/>
        <v>0.13861238571141524</v>
      </c>
      <c r="C394">
        <f t="shared" si="101"/>
        <v>0.23180676849106685</v>
      </c>
    </row>
    <row r="395" spans="1:3" x14ac:dyDescent="0.25">
      <c r="A395">
        <f t="shared" si="99"/>
        <v>24.824999999999513</v>
      </c>
      <c r="B395">
        <f t="shared" si="100"/>
        <v>0.13730667549169559</v>
      </c>
      <c r="C395">
        <f t="shared" si="101"/>
        <v>0.23166675042558318</v>
      </c>
    </row>
    <row r="396" spans="1:3" x14ac:dyDescent="0.25">
      <c r="A396">
        <f t="shared" si="99"/>
        <v>24.849999999999511</v>
      </c>
      <c r="B396">
        <f t="shared" si="100"/>
        <v>0.13599408144991221</v>
      </c>
      <c r="C396">
        <f t="shared" si="101"/>
        <v>0.23147790908750335</v>
      </c>
    </row>
    <row r="397" spans="1:3" x14ac:dyDescent="0.25">
      <c r="A397">
        <f t="shared" si="99"/>
        <v>24.87499999999951</v>
      </c>
      <c r="B397">
        <f t="shared" si="100"/>
        <v>0.13467503788173779</v>
      </c>
      <c r="C397">
        <f t="shared" si="101"/>
        <v>0.23124036402410791</v>
      </c>
    </row>
    <row r="398" spans="1:3" x14ac:dyDescent="0.25">
      <c r="A398">
        <f t="shared" si="99"/>
        <v>24.899999999999508</v>
      </c>
      <c r="B398">
        <f t="shared" si="100"/>
        <v>0.13334997761672315</v>
      </c>
      <c r="C398">
        <f t="shared" si="101"/>
        <v>0.23095426552246764</v>
      </c>
    </row>
    <row r="399" spans="1:3" x14ac:dyDescent="0.25">
      <c r="A399">
        <f t="shared" si="99"/>
        <v>24.924999999999507</v>
      </c>
      <c r="B399">
        <f t="shared" si="100"/>
        <v>0.13201933178952438</v>
      </c>
      <c r="C399">
        <f t="shared" si="101"/>
        <v>0.23061979445098549</v>
      </c>
    </row>
    <row r="400" spans="1:3" x14ac:dyDescent="0.25">
      <c r="A400">
        <f t="shared" si="99"/>
        <v>24.949999999999505</v>
      </c>
      <c r="B400">
        <f t="shared" si="100"/>
        <v>0.13068352961455471</v>
      </c>
      <c r="C400">
        <f t="shared" si="101"/>
        <v>0.2302371620688384</v>
      </c>
    </row>
    <row r="401" spans="1:3" x14ac:dyDescent="0.25">
      <c r="A401">
        <f t="shared" si="99"/>
        <v>24.974999999999504</v>
      </c>
      <c r="B401">
        <f t="shared" si="100"/>
        <v>0.12934299816421638</v>
      </c>
      <c r="C401">
        <f t="shared" si="101"/>
        <v>0.22980660980360104</v>
      </c>
    </row>
    <row r="402" spans="1:3" x14ac:dyDescent="0.25">
      <c r="A402">
        <f t="shared" si="99"/>
        <v>24.999999999999503</v>
      </c>
      <c r="B402">
        <f t="shared" si="100"/>
        <v>0.12799816215086343</v>
      </c>
      <c r="C402">
        <f t="shared" si="101"/>
        <v>0.229328408997378</v>
      </c>
    </row>
    <row r="403" spans="1:3" x14ac:dyDescent="0.25">
      <c r="A403">
        <f t="shared" si="99"/>
        <v>25.024999999999501</v>
      </c>
      <c r="B403">
        <f t="shared" si="100"/>
        <v>0.12664944371264186</v>
      </c>
      <c r="C403">
        <f t="shared" si="101"/>
        <v>0.2288028606218197</v>
      </c>
    </row>
    <row r="404" spans="1:3" x14ac:dyDescent="0.25">
      <c r="A404">
        <f t="shared" si="99"/>
        <v>25.0499999999995</v>
      </c>
      <c r="B404">
        <f t="shared" si="100"/>
        <v>0.12529726220334692</v>
      </c>
      <c r="C404">
        <f t="shared" si="101"/>
        <v>0.22823029496243885</v>
      </c>
    </row>
    <row r="405" spans="1:3" x14ac:dyDescent="0.25">
      <c r="A405">
        <f t="shared" si="99"/>
        <v>25.074999999999498</v>
      </c>
      <c r="B405">
        <f t="shared" si="100"/>
        <v>0.12394203398643316</v>
      </c>
      <c r="C405">
        <f t="shared" si="101"/>
        <v>0.22761107127269345</v>
      </c>
    </row>
    <row r="406" spans="1:3" x14ac:dyDescent="0.25">
      <c r="A406">
        <f t="shared" si="99"/>
        <v>25.099999999999497</v>
      </c>
      <c r="B406">
        <f t="shared" si="100"/>
        <v>0.12258417223330682</v>
      </c>
      <c r="C406">
        <f t="shared" si="101"/>
        <v>0.22694557739834142</v>
      </c>
    </row>
    <row r="407" spans="1:3" x14ac:dyDescent="0.25">
      <c r="A407">
        <f t="shared" si="99"/>
        <v>25.124999999999496</v>
      </c>
      <c r="B407">
        <f t="shared" si="100"/>
        <v>0.1212240867260243</v>
      </c>
      <c r="C407">
        <f t="shared" si="101"/>
        <v>0.22623422937261795</v>
      </c>
    </row>
    <row r="408" spans="1:3" x14ac:dyDescent="0.25">
      <c r="A408">
        <f t="shared" si="99"/>
        <v>25.149999999999494</v>
      </c>
      <c r="B408">
        <f t="shared" si="100"/>
        <v>0.11986218366451544</v>
      </c>
      <c r="C408">
        <f t="shared" si="101"/>
        <v>0.22547747098282639</v>
      </c>
    </row>
    <row r="409" spans="1:3" x14ac:dyDescent="0.25">
      <c r="A409">
        <f t="shared" si="99"/>
        <v>25.174999999999493</v>
      </c>
      <c r="B409">
        <f t="shared" si="100"/>
        <v>0.11849886547844425</v>
      </c>
      <c r="C409">
        <f t="shared" si="101"/>
        <v>0.22467577330897526</v>
      </c>
    </row>
    <row r="410" spans="1:3" x14ac:dyDescent="0.25">
      <c r="A410">
        <f t="shared" si="99"/>
        <v>25.199999999999491</v>
      </c>
      <c r="B410">
        <f t="shared" si="100"/>
        <v>0.11713453064381352</v>
      </c>
      <c r="C410">
        <f t="shared" si="101"/>
        <v>0.22382963423513208</v>
      </c>
    </row>
    <row r="411" spans="1:3" x14ac:dyDescent="0.25">
      <c r="A411">
        <f t="shared" si="99"/>
        <v>25.22499999999949</v>
      </c>
      <c r="B411">
        <f t="shared" si="100"/>
        <v>0.11576957350441505</v>
      </c>
      <c r="C411">
        <f t="shared" si="101"/>
        <v>0.2229395779342041</v>
      </c>
    </row>
    <row r="412" spans="1:3" x14ac:dyDescent="0.25">
      <c r="A412">
        <f t="shared" si="99"/>
        <v>25.249999999999488</v>
      </c>
      <c r="B412">
        <f t="shared" si="100"/>
        <v>0.1144043840982199</v>
      </c>
      <c r="C412">
        <f t="shared" si="101"/>
        <v>0.22200615432689191</v>
      </c>
    </row>
    <row r="413" spans="1:3" x14ac:dyDescent="0.25">
      <c r="A413">
        <f t="shared" si="99"/>
        <v>25.274999999999487</v>
      </c>
      <c r="B413">
        <f t="shared" si="100"/>
        <v>0.11303934798879846</v>
      </c>
      <c r="C413">
        <f t="shared" si="101"/>
        <v>0.22102993851559752</v>
      </c>
    </row>
    <row r="414" spans="1:3" x14ac:dyDescent="0.25">
      <c r="A414">
        <f t="shared" si="99"/>
        <v>25.299999999999486</v>
      </c>
      <c r="B414">
        <f t="shared" si="100"/>
        <v>0.1116748461018529</v>
      </c>
      <c r="C414">
        <f t="shared" si="101"/>
        <v>0.22001153019410244</v>
      </c>
    </row>
    <row r="415" spans="1:3" x14ac:dyDescent="0.25">
      <c r="A415">
        <f t="shared" si="99"/>
        <v>25.324999999999484</v>
      </c>
      <c r="B415">
        <f t="shared" si="100"/>
        <v>0.11031125456693999</v>
      </c>
      <c r="C415">
        <f t="shared" si="101"/>
        <v>0.2189515530338641</v>
      </c>
    </row>
    <row r="416" spans="1:3" x14ac:dyDescent="0.25">
      <c r="A416">
        <f t="shared" si="99"/>
        <v>25.349999999999483</v>
      </c>
      <c r="B416">
        <f t="shared" si="100"/>
        <v>0.10894894456445468</v>
      </c>
      <c r="C416">
        <f t="shared" si="101"/>
        <v>0.21785065404780865</v>
      </c>
    </row>
    <row r="417" spans="1:3" x14ac:dyDescent="0.25">
      <c r="A417">
        <f t="shared" si="99"/>
        <v>25.374999999999481</v>
      </c>
      <c r="B417">
        <f t="shared" si="100"/>
        <v>0.10758828217794031</v>
      </c>
      <c r="C417">
        <f t="shared" si="101"/>
        <v>0.21670950293252947</v>
      </c>
    </row>
    <row r="418" spans="1:3" x14ac:dyDescent="0.25">
      <c r="A418">
        <f t="shared" si="99"/>
        <v>25.39999999999948</v>
      </c>
      <c r="B418">
        <f t="shared" si="100"/>
        <v>0.10622962825178432</v>
      </c>
      <c r="C418">
        <f t="shared" si="101"/>
        <v>0.21552879138982564</v>
      </c>
    </row>
    <row r="419" spans="1:3" x14ac:dyDescent="0.25">
      <c r="A419">
        <f t="shared" si="99"/>
        <v>25.424999999999478</v>
      </c>
      <c r="B419">
        <f t="shared" si="100"/>
        <v>0.10487333825435251</v>
      </c>
      <c r="C419">
        <f t="shared" si="101"/>
        <v>0.2143092324285425</v>
      </c>
    </row>
    <row r="420" spans="1:3" x14ac:dyDescent="0.25">
      <c r="A420">
        <f t="shared" si="99"/>
        <v>25.449999999999477</v>
      </c>
      <c r="B420">
        <f t="shared" si="100"/>
        <v>0.1035197621466093</v>
      </c>
      <c r="C420">
        <f t="shared" si="101"/>
        <v>0.21305155964770073</v>
      </c>
    </row>
    <row r="421" spans="1:3" x14ac:dyDescent="0.25">
      <c r="A421">
        <f t="shared" si="99"/>
        <v>25.474999999999476</v>
      </c>
      <c r="B421">
        <f t="shared" si="100"/>
        <v>0.10216924425626496</v>
      </c>
      <c r="C421">
        <f t="shared" si="101"/>
        <v>0.2117565265019202</v>
      </c>
    </row>
    <row r="422" spans="1:3" x14ac:dyDescent="0.25">
      <c r="A422">
        <f t="shared" si="99"/>
        <v>25.499999999999474</v>
      </c>
      <c r="B422">
        <f t="shared" si="100"/>
        <v>0.10082212315748527</v>
      </c>
      <c r="C422">
        <f t="shared" si="101"/>
        <v>0.2104249055501683</v>
      </c>
    </row>
    <row r="423" spans="1:3" x14ac:dyDescent="0.25">
      <c r="A423">
        <f t="shared" si="99"/>
        <v>25.524999999999473</v>
      </c>
      <c r="B423">
        <f t="shared" si="100"/>
        <v>9.947873155619269E-2</v>
      </c>
      <c r="C423">
        <f t="shared" si="101"/>
        <v>0.20905748768887986</v>
      </c>
    </row>
    <row r="424" spans="1:3" x14ac:dyDescent="0.25">
      <c r="A424">
        <f t="shared" si="99"/>
        <v>25.549999999999471</v>
      </c>
      <c r="B424">
        <f t="shared" si="100"/>
        <v>9.8139396180982857E-2</v>
      </c>
      <c r="C424">
        <f t="shared" si="101"/>
        <v>0.20765508137051145</v>
      </c>
    </row>
    <row r="425" spans="1:3" x14ac:dyDescent="0.25">
      <c r="A425">
        <f t="shared" si="99"/>
        <v>25.57499999999947</v>
      </c>
      <c r="B425">
        <f t="shared" si="100"/>
        <v>9.680443767967345E-2</v>
      </c>
      <c r="C425">
        <f t="shared" si="101"/>
        <v>0.20621851180861042</v>
      </c>
    </row>
    <row r="426" spans="1:3" x14ac:dyDescent="0.25">
      <c r="A426">
        <f t="shared" si="99"/>
        <v>25.599999999999469</v>
      </c>
      <c r="B426">
        <f t="shared" si="100"/>
        <v>9.5474170521498411E-2</v>
      </c>
      <c r="C426">
        <f t="shared" si="101"/>
        <v>0.20474862017048892</v>
      </c>
    </row>
    <row r="427" spans="1:3" x14ac:dyDescent="0.25">
      <c r="A427">
        <f t="shared" si="99"/>
        <v>25.624999999999467</v>
      </c>
      <c r="B427">
        <f t="shared" si="100"/>
        <v>9.4148902904952481E-2</v>
      </c>
      <c r="C427">
        <f t="shared" si="101"/>
        <v>0.20324626275860669</v>
      </c>
    </row>
    <row r="428" spans="1:3" x14ac:dyDescent="0.25">
      <c r="A428">
        <f t="shared" si="99"/>
        <v>25.649999999999466</v>
      </c>
      <c r="B428">
        <f t="shared" si="100"/>
        <v>9.2828936671287512E-2</v>
      </c>
      <c r="C428">
        <f t="shared" si="101"/>
        <v>0.20171231018177446</v>
      </c>
    </row>
    <row r="429" spans="1:3" x14ac:dyDescent="0.25">
      <c r="A429">
        <f t="shared" si="99"/>
        <v>25.674999999999464</v>
      </c>
      <c r="B429">
        <f t="shared" si="100"/>
        <v>9.1514567223655252E-2</v>
      </c>
      <c r="C429">
        <f t="shared" si="101"/>
        <v>0.20014764651729655</v>
      </c>
    </row>
    <row r="430" spans="1:3" x14ac:dyDescent="0.25">
      <c r="A430">
        <f t="shared" si="99"/>
        <v>25.699999999999463</v>
      </c>
      <c r="B430">
        <f t="shared" si="100"/>
        <v>9.0206083451886229E-2</v>
      </c>
      <c r="C430">
        <f t="shared" si="101"/>
        <v>0.19855316846517751</v>
      </c>
    </row>
    <row r="431" spans="1:3" x14ac:dyDescent="0.25">
      <c r="A431">
        <f t="shared" si="99"/>
        <v>25.724999999999461</v>
      </c>
      <c r="B431">
        <f t="shared" si="100"/>
        <v>8.8903767662888961E-2</v>
      </c>
      <c r="C431">
        <f t="shared" si="101"/>
        <v>0.19692978449552045</v>
      </c>
    </row>
    <row r="432" spans="1:3" x14ac:dyDescent="0.25">
      <c r="A432">
        <f t="shared" si="99"/>
        <v>25.74999999999946</v>
      </c>
      <c r="B432">
        <f t="shared" si="100"/>
        <v>8.7607895516648299E-2</v>
      </c>
      <c r="C432">
        <f t="shared" si="101"/>
        <v>0.19527841399024612</v>
      </c>
    </row>
    <row r="433" spans="1:3" x14ac:dyDescent="0.25">
      <c r="A433">
        <f t="shared" si="99"/>
        <v>25.774999999999459</v>
      </c>
      <c r="B433">
        <f t="shared" si="100"/>
        <v>8.6318735967796739E-2</v>
      </c>
      <c r="C433">
        <f t="shared" si="101"/>
        <v>0.19359998638026121</v>
      </c>
    </row>
    <row r="434" spans="1:3" x14ac:dyDescent="0.25">
      <c r="A434">
        <f t="shared" si="99"/>
        <v>25.799999999999457</v>
      </c>
      <c r="B434">
        <f t="shared" si="100"/>
        <v>8.5036551212727254E-2</v>
      </c>
      <c r="C434">
        <f t="shared" si="101"/>
        <v>0.1918954402792023</v>
      </c>
    </row>
    <row r="435" spans="1:3" x14ac:dyDescent="0.25">
      <c r="A435">
        <f t="shared" si="99"/>
        <v>25.824999999999456</v>
      </c>
      <c r="B435">
        <f t="shared" si="100"/>
        <v>8.3761596642211278E-2</v>
      </c>
      <c r="C435">
        <f t="shared" si="101"/>
        <v>0.19016572261487685</v>
      </c>
    </row>
    <row r="436" spans="1:3" x14ac:dyDescent="0.25">
      <c r="A436">
        <f t="shared" si="99"/>
        <v>25.849999999999454</v>
      </c>
      <c r="B436">
        <f t="shared" si="100"/>
        <v>8.2494120799480777E-2</v>
      </c>
      <c r="C436">
        <f t="shared" si="101"/>
        <v>0.18841178775951789</v>
      </c>
    </row>
    <row r="437" spans="1:3" x14ac:dyDescent="0.25">
      <c r="A437">
        <f t="shared" si="99"/>
        <v>25.874999999999453</v>
      </c>
      <c r="B437">
        <f t="shared" si="100"/>
        <v>8.123436534372834E-2</v>
      </c>
      <c r="C437">
        <f t="shared" si="101"/>
        <v>0.1866345966599593</v>
      </c>
    </row>
    <row r="438" spans="1:3" x14ac:dyDescent="0.25">
      <c r="A438">
        <f>A437+0.025</f>
        <v>25.899999999999451</v>
      </c>
      <c r="B438">
        <f t="shared" si="100"/>
        <v>7.9982565018974688E-2</v>
      </c>
      <c r="C438">
        <f t="shared" si="101"/>
        <v>0.18483511596883034</v>
      </c>
    </row>
    <row r="439" spans="1:3" x14ac:dyDescent="0.25">
      <c r="A439">
        <f t="shared" ref="A439:A502" si="102">A438+0.025</f>
        <v>25.92499999999945</v>
      </c>
      <c r="B439">
        <f t="shared" si="100"/>
        <v>7.873894762824854E-2</v>
      </c>
      <c r="C439">
        <f t="shared" si="101"/>
        <v>0.18301431717785535</v>
      </c>
    </row>
    <row r="440" spans="1:3" x14ac:dyDescent="0.25">
      <c r="A440">
        <f t="shared" si="102"/>
        <v>25.949999999999449</v>
      </c>
      <c r="B440">
        <f t="shared" si="100"/>
        <v>7.7503734013019646E-2</v>
      </c>
      <c r="C440">
        <f t="shared" si="101"/>
        <v>0.18117317575433295</v>
      </c>
    </row>
    <row r="441" spans="1:3" x14ac:dyDescent="0.25">
      <c r="A441">
        <f t="shared" si="102"/>
        <v>25.974999999999447</v>
      </c>
      <c r="B441">
        <f t="shared" si="100"/>
        <v>7.6277138037820907E-2</v>
      </c>
      <c r="C441">
        <f t="shared" si="101"/>
        <v>0.17931267028185213</v>
      </c>
    </row>
    <row r="442" spans="1:3" x14ac:dyDescent="0.25">
      <c r="A442">
        <f t="shared" si="102"/>
        <v>25.999999999999446</v>
      </c>
      <c r="B442">
        <f t="shared" si="100"/>
        <v>7.5059366579992085E-2</v>
      </c>
      <c r="C442">
        <f t="shared" si="101"/>
        <v>0.17743378160628739</v>
      </c>
    </row>
    <row r="443" spans="1:3" x14ac:dyDescent="0.25">
      <c r="A443">
        <f t="shared" si="102"/>
        <v>26.024999999999444</v>
      </c>
      <c r="B443">
        <f t="shared" si="100"/>
        <v>7.3850619524473263E-2</v>
      </c>
      <c r="C443">
        <f t="shared" si="101"/>
        <v>0.17553749198809704</v>
      </c>
    </row>
    <row r="444" spans="1:3" x14ac:dyDescent="0.25">
      <c r="A444">
        <f t="shared" si="102"/>
        <v>26.049999999999443</v>
      </c>
      <c r="B444">
        <f t="shared" si="100"/>
        <v>7.2651089763572665E-2</v>
      </c>
      <c r="C444">
        <f t="shared" si="101"/>
        <v>0.17362478426192812</v>
      </c>
    </row>
    <row r="445" spans="1:3" x14ac:dyDescent="0.25">
      <c r="A445">
        <f t="shared" si="102"/>
        <v>26.074999999999442</v>
      </c>
      <c r="B445">
        <f t="shared" si="100"/>
        <v>7.1460963201629327E-2</v>
      </c>
      <c r="C445">
        <f t="shared" si="101"/>
        <v>0.17169664100451132</v>
      </c>
    </row>
    <row r="446" spans="1:3" x14ac:dyDescent="0.25">
      <c r="A446">
        <f t="shared" si="102"/>
        <v>26.09999999999944</v>
      </c>
      <c r="B446">
        <f t="shared" si="100"/>
        <v>7.0280418764488303E-2</v>
      </c>
      <c r="C446">
        <f t="shared" si="101"/>
        <v>0.16975404371180558</v>
      </c>
    </row>
    <row r="447" spans="1:3" x14ac:dyDescent="0.25">
      <c r="A447">
        <f t="shared" si="102"/>
        <v>26.124999999999439</v>
      </c>
      <c r="B447">
        <f t="shared" si="100"/>
        <v>6.9109628413701871E-2</v>
      </c>
      <c r="C447">
        <f t="shared" si="101"/>
        <v>0.16779797198632962</v>
      </c>
    </row>
    <row r="448" spans="1:3" x14ac:dyDescent="0.25">
      <c r="A448">
        <f t="shared" si="102"/>
        <v>26.149999999999437</v>
      </c>
      <c r="B448">
        <f t="shared" si="100"/>
        <v>6.7948757165367524E-2</v>
      </c>
      <c r="C448">
        <f t="shared" si="101"/>
        <v>0.16582940273559019</v>
      </c>
    </row>
    <row r="449" spans="1:3" x14ac:dyDescent="0.25">
      <c r="A449">
        <f t="shared" si="102"/>
        <v>26.174999999999436</v>
      </c>
      <c r="B449">
        <f t="shared" si="100"/>
        <v>6.679796311351073E-2</v>
      </c>
      <c r="C449">
        <f t="shared" si="101"/>
        <v>0.16384930938249295</v>
      </c>
    </row>
    <row r="450" spans="1:3" x14ac:dyDescent="0.25">
      <c r="A450">
        <f t="shared" si="102"/>
        <v>26.199999999999434</v>
      </c>
      <c r="B450">
        <f t="shared" si="100"/>
        <v>6.565739745791653E-2</v>
      </c>
      <c r="C450">
        <f t="shared" si="101"/>
        <v>0.16185866108859159</v>
      </c>
    </row>
    <row r="451" spans="1:3" x14ac:dyDescent="0.25">
      <c r="A451">
        <f t="shared" si="102"/>
        <v>26.224999999999433</v>
      </c>
      <c r="B451">
        <f t="shared" ref="B451:B514" si="103">_xlfn.NORM.DIST(A451,23.135,2.105,0)</f>
        <v>6.4527204536312222E-2</v>
      </c>
      <c r="C451">
        <f t="shared" ref="C451:C514" si="104">_xlfn.NORM.DIST(A451,24.741,1.72,0)</f>
        <v>0.15985842199100381</v>
      </c>
    </row>
    <row r="452" spans="1:3" x14ac:dyDescent="0.25">
      <c r="A452">
        <f t="shared" si="102"/>
        <v>26.249999999999432</v>
      </c>
      <c r="B452">
        <f t="shared" si="103"/>
        <v>6.3407521860800536E-2</v>
      </c>
      <c r="C452">
        <f t="shared" si="104"/>
        <v>0.15784955045379231</v>
      </c>
    </row>
    <row r="453" spans="1:3" x14ac:dyDescent="0.25">
      <c r="A453">
        <f t="shared" si="102"/>
        <v>26.27499999999943</v>
      </c>
      <c r="B453">
        <f t="shared" si="103"/>
        <v>6.2298480158439855E-2</v>
      </c>
      <c r="C453">
        <f t="shared" si="104"/>
        <v>0.15583299833457753</v>
      </c>
    </row>
    <row r="454" spans="1:3" x14ac:dyDescent="0.25">
      <c r="A454">
        <f t="shared" si="102"/>
        <v>26.299999999999429</v>
      </c>
      <c r="B454">
        <f t="shared" si="103"/>
        <v>6.120020341586644E-2</v>
      </c>
      <c r="C454">
        <f t="shared" si="104"/>
        <v>0.15380971026711796</v>
      </c>
    </row>
    <row r="455" spans="1:3" x14ac:dyDescent="0.25">
      <c r="A455">
        <f t="shared" si="102"/>
        <v>26.324999999999427</v>
      </c>
      <c r="B455">
        <f t="shared" si="103"/>
        <v>6.0112808927850689E-2</v>
      </c>
      <c r="C455">
        <f t="shared" si="104"/>
        <v>0.1517806229605608</v>
      </c>
    </row>
    <row r="456" spans="1:3" x14ac:dyDescent="0.25">
      <c r="A456">
        <f t="shared" si="102"/>
        <v>26.349999999999426</v>
      </c>
      <c r="B456">
        <f t="shared" si="103"/>
        <v>5.9036407349678299E-2</v>
      </c>
      <c r="C456">
        <f t="shared" si="104"/>
        <v>0.14974666451603236</v>
      </c>
    </row>
    <row r="457" spans="1:3" x14ac:dyDescent="0.25">
      <c r="A457">
        <f t="shared" si="102"/>
        <v>26.374999999999424</v>
      </c>
      <c r="B457">
        <f t="shared" si="103"/>
        <v>5.7971102753244526E-2</v>
      </c>
      <c r="C457">
        <f t="shared" si="104"/>
        <v>0.14770875376120335</v>
      </c>
    </row>
    <row r="458" spans="1:3" x14ac:dyDescent="0.25">
      <c r="A458">
        <f t="shared" si="102"/>
        <v>26.399999999999423</v>
      </c>
      <c r="B458">
        <f t="shared" si="103"/>
        <v>5.691699268674915E-2</v>
      </c>
      <c r="C458">
        <f t="shared" si="104"/>
        <v>0.14566779960342988</v>
      </c>
    </row>
    <row r="459" spans="1:3" x14ac:dyDescent="0.25">
      <c r="A459">
        <f t="shared" si="102"/>
        <v>26.424999999999422</v>
      </c>
      <c r="B459">
        <f t="shared" si="103"/>
        <v>5.5874168237876921E-2</v>
      </c>
      <c r="C459">
        <f t="shared" si="104"/>
        <v>0.1436247004020357</v>
      </c>
    </row>
    <row r="460" spans="1:3" x14ac:dyDescent="0.25">
      <c r="A460">
        <f t="shared" si="102"/>
        <v>26.44999999999942</v>
      </c>
      <c r="B460">
        <f t="shared" si="103"/>
        <v>5.484271410034805E-2</v>
      </c>
      <c r="C460">
        <f t="shared" si="104"/>
        <v>0.14158034336026476</v>
      </c>
    </row>
    <row r="461" spans="1:3" x14ac:dyDescent="0.25">
      <c r="A461">
        <f t="shared" si="102"/>
        <v>26.474999999999419</v>
      </c>
      <c r="B461">
        <f t="shared" si="103"/>
        <v>5.3822708643721642E-2</v>
      </c>
      <c r="C461">
        <f t="shared" si="104"/>
        <v>0.13953560393739792</v>
      </c>
    </row>
    <row r="462" spans="1:3" x14ac:dyDescent="0.25">
      <c r="A462">
        <f t="shared" si="102"/>
        <v>26.499999999999417</v>
      </c>
      <c r="B462">
        <f t="shared" si="103"/>
        <v>5.2814223986333737E-2</v>
      </c>
      <c r="C462">
        <f t="shared" si="104"/>
        <v>0.13749134528149098</v>
      </c>
    </row>
    <row r="463" spans="1:3" x14ac:dyDescent="0.25">
      <c r="A463">
        <f t="shared" si="102"/>
        <v>26.524999999999416</v>
      </c>
      <c r="B463">
        <f t="shared" si="103"/>
        <v>5.1817326071251328E-2</v>
      </c>
      <c r="C463">
        <f t="shared" si="104"/>
        <v>0.1354484176831538</v>
      </c>
    </row>
    <row r="464" spans="1:3" x14ac:dyDescent="0.25">
      <c r="A464">
        <f t="shared" si="102"/>
        <v>26.549999999999415</v>
      </c>
      <c r="B464">
        <f t="shared" si="103"/>
        <v>5.0832074745121997E-2</v>
      </c>
      <c r="C464">
        <f t="shared" si="104"/>
        <v>0.13340765805075419</v>
      </c>
    </row>
    <row r="465" spans="1:3" x14ac:dyDescent="0.25">
      <c r="A465">
        <f t="shared" si="102"/>
        <v>26.574999999999413</v>
      </c>
      <c r="B465">
        <f t="shared" si="103"/>
        <v>4.98585238397996E-2</v>
      </c>
      <c r="C465">
        <f t="shared" si="104"/>
        <v>0.13136988940739297</v>
      </c>
    </row>
    <row r="466" spans="1:3" x14ac:dyDescent="0.25">
      <c r="A466">
        <f t="shared" si="102"/>
        <v>26.599999999999412</v>
      </c>
      <c r="B466">
        <f t="shared" si="103"/>
        <v>4.8896721256624379E-2</v>
      </c>
      <c r="C466">
        <f t="shared" si="104"/>
        <v>0.12933592040995906</v>
      </c>
    </row>
    <row r="467" spans="1:3" x14ac:dyDescent="0.25">
      <c r="A467">
        <f t="shared" si="102"/>
        <v>26.62499999999941</v>
      </c>
      <c r="B467">
        <f t="shared" si="103"/>
        <v>4.7946709053237023E-2</v>
      </c>
      <c r="C467">
        <f t="shared" si="104"/>
        <v>0.12730654489053767</v>
      </c>
    </row>
    <row r="468" spans="1:3" x14ac:dyDescent="0.25">
      <c r="A468">
        <f t="shared" si="102"/>
        <v>26.649999999999409</v>
      </c>
      <c r="B468">
        <f t="shared" si="103"/>
        <v>4.7008523532805227E-2</v>
      </c>
      <c r="C468">
        <f t="shared" si="104"/>
        <v>0.12528254142040568</v>
      </c>
    </row>
    <row r="469" spans="1:3" x14ac:dyDescent="0.25">
      <c r="A469">
        <f t="shared" si="102"/>
        <v>26.674999999999407</v>
      </c>
      <c r="B469">
        <f t="shared" si="103"/>
        <v>4.6082195335541164E-2</v>
      </c>
      <c r="C469">
        <f t="shared" si="104"/>
        <v>0.12326467289681399</v>
      </c>
    </row>
    <row r="470" spans="1:3" x14ac:dyDescent="0.25">
      <c r="A470">
        <f t="shared" si="102"/>
        <v>26.699999999999406</v>
      </c>
      <c r="B470">
        <f t="shared" si="103"/>
        <v>4.5167749532388987E-2</v>
      </c>
      <c r="C470">
        <f t="shared" si="104"/>
        <v>0.12125368615271831</v>
      </c>
    </row>
    <row r="471" spans="1:3" x14ac:dyDescent="0.25">
      <c r="A471">
        <f t="shared" si="102"/>
        <v>26.724999999999405</v>
      </c>
      <c r="B471">
        <f t="shared" si="103"/>
        <v>4.4265205720761383E-2</v>
      </c>
      <c r="C471">
        <f t="shared" si="104"/>
        <v>0.1192503115895841</v>
      </c>
    </row>
    <row r="472" spans="1:3" x14ac:dyDescent="0.25">
      <c r="A472">
        <f t="shared" si="102"/>
        <v>26.749999999999403</v>
      </c>
      <c r="B472">
        <f t="shared" si="103"/>
        <v>4.3374578122204466E-2</v>
      </c>
      <c r="C472">
        <f t="shared" si="104"/>
        <v>0.11725526283335592</v>
      </c>
    </row>
    <row r="473" spans="1:3" x14ac:dyDescent="0.25">
      <c r="A473">
        <f t="shared" si="102"/>
        <v>26.774999999999402</v>
      </c>
      <c r="B473">
        <f t="shared" si="103"/>
        <v>4.2495875681870972E-2</v>
      </c>
      <c r="C473">
        <f t="shared" si="104"/>
        <v>0.11526923641364584</v>
      </c>
    </row>
    <row r="474" spans="1:3" x14ac:dyDescent="0.25">
      <c r="A474">
        <f t="shared" si="102"/>
        <v>26.7999999999994</v>
      </c>
      <c r="B474">
        <f t="shared" si="103"/>
        <v>4.1629102169682325E-2</v>
      </c>
      <c r="C474">
        <f t="shared" si="104"/>
        <v>0.11329291146615982</v>
      </c>
    </row>
    <row r="475" spans="1:3" x14ac:dyDescent="0.25">
      <c r="A475">
        <f t="shared" si="102"/>
        <v>26.824999999999399</v>
      </c>
      <c r="B475">
        <f t="shared" si="103"/>
        <v>4.0774256283060861E-2</v>
      </c>
      <c r="C475">
        <f t="shared" si="104"/>
        <v>0.11132694945834834</v>
      </c>
    </row>
    <row r="476" spans="1:3" x14ac:dyDescent="0.25">
      <c r="A476">
        <f t="shared" si="102"/>
        <v>26.849999999999397</v>
      </c>
      <c r="B476">
        <f t="shared" si="103"/>
        <v>3.9931331751114275E-2</v>
      </c>
      <c r="C476">
        <f t="shared" si="104"/>
        <v>0.10937199393823183</v>
      </c>
    </row>
    <row r="477" spans="1:3" x14ac:dyDescent="0.25">
      <c r="A477">
        <f t="shared" si="102"/>
        <v>26.874999999999396</v>
      </c>
      <c r="B477">
        <f t="shared" si="103"/>
        <v>3.9100317440155588E-2</v>
      </c>
      <c r="C477">
        <f t="shared" si="104"/>
        <v>0.10742867030631936</v>
      </c>
    </row>
    <row r="478" spans="1:3" x14ac:dyDescent="0.25">
      <c r="A478">
        <f t="shared" si="102"/>
        <v>26.899999999999395</v>
      </c>
      <c r="B478">
        <f t="shared" si="103"/>
        <v>3.8281197460442694E-2</v>
      </c>
      <c r="C478">
        <f t="shared" si="104"/>
        <v>0.10549758561050672</v>
      </c>
    </row>
    <row r="479" spans="1:3" x14ac:dyDescent="0.25">
      <c r="A479">
        <f t="shared" si="102"/>
        <v>26.924999999999393</v>
      </c>
      <c r="B479">
        <f t="shared" si="103"/>
        <v>3.7473951274022858E-2</v>
      </c>
      <c r="C479">
        <f t="shared" si="104"/>
        <v>0.10357932836380802</v>
      </c>
    </row>
    <row r="480" spans="1:3" x14ac:dyDescent="0.25">
      <c r="A480">
        <f t="shared" si="102"/>
        <v>26.949999999999392</v>
      </c>
      <c r="B480">
        <f t="shared" si="103"/>
        <v>3.6678553803569013E-2</v>
      </c>
      <c r="C480">
        <f t="shared" si="104"/>
        <v>0.10167446838474334</v>
      </c>
    </row>
    <row r="481" spans="1:3" x14ac:dyDescent="0.25">
      <c r="A481">
        <f t="shared" si="102"/>
        <v>26.97499999999939</v>
      </c>
      <c r="B481">
        <f t="shared" si="103"/>
        <v>3.5894975542095954E-2</v>
      </c>
      <c r="C481">
        <f t="shared" si="104"/>
        <v>9.9783556660176798E-2</v>
      </c>
    </row>
    <row r="482" spans="1:3" x14ac:dyDescent="0.25">
      <c r="A482">
        <f t="shared" si="102"/>
        <v>26.999999999999389</v>
      </c>
      <c r="B482">
        <f t="shared" si="103"/>
        <v>3.5123182663445822E-2</v>
      </c>
      <c r="C482">
        <f t="shared" si="104"/>
        <v>9.790712523036818E-2</v>
      </c>
    </row>
    <row r="483" spans="1:3" x14ac:dyDescent="0.25">
      <c r="A483">
        <f t="shared" si="102"/>
        <v>27.024999999999388</v>
      </c>
      <c r="B483">
        <f t="shared" si="103"/>
        <v>3.4363137133434245E-2</v>
      </c>
      <c r="C483">
        <f t="shared" si="104"/>
        <v>9.6045687095974649E-2</v>
      </c>
    </row>
    <row r="484" spans="1:3" x14ac:dyDescent="0.25">
      <c r="A484">
        <f t="shared" si="102"/>
        <v>27.049999999999386</v>
      </c>
      <c r="B484">
        <f t="shared" si="103"/>
        <v>3.3614796821549935E-2</v>
      </c>
      <c r="C484">
        <f t="shared" si="104"/>
        <v>9.4199736146710483E-2</v>
      </c>
    </row>
    <row r="485" spans="1:3" x14ac:dyDescent="0.25">
      <c r="A485">
        <f t="shared" si="102"/>
        <v>27.074999999999385</v>
      </c>
      <c r="B485">
        <f t="shared" si="103"/>
        <v>3.287811561310227E-2</v>
      </c>
      <c r="C485">
        <f t="shared" si="104"/>
        <v>9.2369747111347808E-2</v>
      </c>
    </row>
    <row r="486" spans="1:3" x14ac:dyDescent="0.25">
      <c r="A486">
        <f t="shared" si="102"/>
        <v>27.099999999999383</v>
      </c>
      <c r="B486">
        <f t="shared" si="103"/>
        <v>3.2153043521713512E-2</v>
      </c>
      <c r="C486">
        <f t="shared" si="104"/>
        <v>9.0556175528714644E-2</v>
      </c>
    </row>
    <row r="487" spans="1:3" x14ac:dyDescent="0.25">
      <c r="A487">
        <f t="shared" si="102"/>
        <v>27.124999999999382</v>
      </c>
      <c r="B487">
        <f t="shared" si="103"/>
        <v>3.1439526802053634E-2</v>
      </c>
      <c r="C487">
        <f t="shared" si="104"/>
        <v>8.8759457739324116E-2</v>
      </c>
    </row>
    <row r="488" spans="1:3" x14ac:dyDescent="0.25">
      <c r="A488">
        <f t="shared" si="102"/>
        <v>27.14999999999938</v>
      </c>
      <c r="B488">
        <f t="shared" si="103"/>
        <v>3.0737508062718515E-2</v>
      </c>
      <c r="C488">
        <f t="shared" si="104"/>
        <v>8.6980010897243609E-2</v>
      </c>
    </row>
    <row r="489" spans="1:3" x14ac:dyDescent="0.25">
      <c r="A489">
        <f t="shared" si="102"/>
        <v>27.174999999999379</v>
      </c>
      <c r="B489">
        <f t="shared" si="103"/>
        <v>3.0046926379153609E-2</v>
      </c>
      <c r="C489">
        <f t="shared" si="104"/>
        <v>8.5218233001792112E-2</v>
      </c>
    </row>
    <row r="490" spans="1:3" x14ac:dyDescent="0.25">
      <c r="A490">
        <f t="shared" si="102"/>
        <v>27.199999999999378</v>
      </c>
      <c r="B490">
        <f t="shared" si="103"/>
        <v>2.9367717406527622E-2</v>
      </c>
      <c r="C490">
        <f t="shared" si="104"/>
        <v>8.3474502948632762E-2</v>
      </c>
    </row>
    <row r="491" spans="1:3" x14ac:dyDescent="0.25">
      <c r="A491">
        <f t="shared" si="102"/>
        <v>27.224999999999376</v>
      </c>
      <c r="B491">
        <f t="shared" si="103"/>
        <v>2.8699813492463037E-2</v>
      </c>
      <c r="C491">
        <f t="shared" si="104"/>
        <v>8.1749180599807389E-2</v>
      </c>
    </row>
    <row r="492" spans="1:3" x14ac:dyDescent="0.25">
      <c r="A492">
        <f t="shared" si="102"/>
        <v>27.249999999999375</v>
      </c>
      <c r="B492">
        <f t="shared" si="103"/>
        <v>2.8043143789532186E-2</v>
      </c>
      <c r="C492">
        <f t="shared" si="104"/>
        <v>8.004260687224142E-2</v>
      </c>
    </row>
    <row r="493" spans="1:3" x14ac:dyDescent="0.25">
      <c r="A493">
        <f t="shared" si="102"/>
        <v>27.274999999999373</v>
      </c>
      <c r="B493">
        <f t="shared" si="103"/>
        <v>2.7397634367430142E-2</v>
      </c>
      <c r="C493">
        <f t="shared" si="104"/>
        <v>7.8355103844230986E-2</v>
      </c>
    </row>
    <row r="494" spans="1:3" x14ac:dyDescent="0.25">
      <c r="A494">
        <f t="shared" si="102"/>
        <v>27.299999999999372</v>
      </c>
      <c r="B494">
        <f t="shared" si="103"/>
        <v>2.6763208324737969E-2</v>
      </c>
      <c r="C494">
        <f t="shared" si="104"/>
        <v>7.6686974879406108E-2</v>
      </c>
    </row>
    <row r="495" spans="1:3" x14ac:dyDescent="0.25">
      <c r="A495">
        <f t="shared" si="102"/>
        <v>27.32499999999937</v>
      </c>
      <c r="B495">
        <f t="shared" si="103"/>
        <v>2.6139785900192229E-2</v>
      </c>
      <c r="C495">
        <f t="shared" si="104"/>
        <v>7.5038504767650449E-2</v>
      </c>
    </row>
    <row r="496" spans="1:3" x14ac:dyDescent="0.25">
      <c r="A496">
        <f t="shared" si="102"/>
        <v>27.349999999999369</v>
      </c>
      <c r="B496">
        <f t="shared" si="103"/>
        <v>2.5527284583378933E-2</v>
      </c>
      <c r="C496">
        <f t="shared" si="104"/>
        <v>7.3409959882442977E-2</v>
      </c>
    </row>
    <row r="497" spans="1:3" x14ac:dyDescent="0.25">
      <c r="A497">
        <f t="shared" si="102"/>
        <v>27.374999999999368</v>
      </c>
      <c r="B497">
        <f t="shared" si="103"/>
        <v>2.4925619224772842E-2</v>
      </c>
      <c r="C497">
        <f t="shared" si="104"/>
        <v>7.1801588354075269E-2</v>
      </c>
    </row>
    <row r="498" spans="1:3" x14ac:dyDescent="0.25">
      <c r="A498">
        <f t="shared" si="102"/>
        <v>27.399999999999366</v>
      </c>
      <c r="B498">
        <f t="shared" si="103"/>
        <v>2.4334702145045184E-2</v>
      </c>
      <c r="C498">
        <f t="shared" si="104"/>
        <v>7.0213620258185325E-2</v>
      </c>
    </row>
    <row r="499" spans="1:3" x14ac:dyDescent="0.25">
      <c r="A499">
        <f t="shared" si="102"/>
        <v>27.424999999999365</v>
      </c>
      <c r="B499">
        <f t="shared" si="103"/>
        <v>2.3754443243565633E-2</v>
      </c>
      <c r="C499">
        <f t="shared" si="104"/>
        <v>6.8646267819039819E-2</v>
      </c>
    </row>
    <row r="500" spans="1:3" x14ac:dyDescent="0.25">
      <c r="A500">
        <f t="shared" si="102"/>
        <v>27.449999999999363</v>
      </c>
      <c r="B500">
        <f t="shared" si="103"/>
        <v>2.3184750106026844E-2</v>
      </c>
      <c r="C500">
        <f t="shared" si="104"/>
        <v>6.7099725626986781E-2</v>
      </c>
    </row>
    <row r="501" spans="1:3" x14ac:dyDescent="0.25">
      <c r="A501">
        <f t="shared" si="102"/>
        <v>27.474999999999362</v>
      </c>
      <c r="B501">
        <f t="shared" si="103"/>
        <v>2.2625528111122138E-2</v>
      </c>
      <c r="C501">
        <f t="shared" si="104"/>
        <v>6.5574170869492465E-2</v>
      </c>
    </row>
    <row r="502" spans="1:3" x14ac:dyDescent="0.25">
      <c r="A502">
        <f t="shared" si="102"/>
        <v>27.499999999999361</v>
      </c>
      <c r="B502">
        <f t="shared" si="103"/>
        <v>2.2076680536210109E-2</v>
      </c>
      <c r="C502">
        <f t="shared" si="104"/>
        <v>6.4069763575170288E-2</v>
      </c>
    </row>
    <row r="503" spans="1:3" x14ac:dyDescent="0.25">
      <c r="A503">
        <f t="shared" ref="A503:A517" si="105">A502+0.025</f>
        <v>27.524999999999359</v>
      </c>
      <c r="B503">
        <f t="shared" si="103"/>
        <v>2.1538108661901648E-2</v>
      </c>
      <c r="C503">
        <f t="shared" si="104"/>
        <v>6.2586646870202794E-2</v>
      </c>
    </row>
    <row r="504" spans="1:3" x14ac:dyDescent="0.25">
      <c r="A504">
        <f t="shared" si="105"/>
        <v>27.549999999999358</v>
      </c>
      <c r="B504">
        <f t="shared" si="103"/>
        <v>2.1009711875508395E-2</v>
      </c>
      <c r="C504">
        <f t="shared" si="104"/>
        <v>6.1124947246554116E-2</v>
      </c>
    </row>
    <row r="505" spans="1:3" x14ac:dyDescent="0.25">
      <c r="A505">
        <f t="shared" si="105"/>
        <v>27.574999999999356</v>
      </c>
      <c r="B505">
        <f t="shared" si="103"/>
        <v>2.049138777329337E-2</v>
      </c>
      <c r="C505">
        <f t="shared" si="104"/>
        <v>5.9684774841366237E-2</v>
      </c>
    </row>
    <row r="506" spans="1:3" x14ac:dyDescent="0.25">
      <c r="A506">
        <f t="shared" si="105"/>
        <v>27.599999999999355</v>
      </c>
      <c r="B506">
        <f t="shared" si="103"/>
        <v>1.9983032261467915E-2</v>
      </c>
      <c r="C506">
        <f t="shared" si="104"/>
        <v>5.826622372693048E-2</v>
      </c>
    </row>
    <row r="507" spans="1:3" x14ac:dyDescent="0.25">
      <c r="A507">
        <f t="shared" si="105"/>
        <v>27.624999999999353</v>
      </c>
      <c r="B507">
        <f t="shared" si="103"/>
        <v>1.9484539655880921E-2</v>
      </c>
      <c r="C507">
        <f t="shared" si="104"/>
        <v>5.6869372210623541E-2</v>
      </c>
    </row>
    <row r="508" spans="1:3" x14ac:dyDescent="0.25">
      <c r="A508">
        <f t="shared" si="105"/>
        <v>27.649999999999352</v>
      </c>
      <c r="B508">
        <f t="shared" si="103"/>
        <v>1.8995802780349628E-2</v>
      </c>
      <c r="C508">
        <f t="shared" si="104"/>
        <v>5.5494283144198582E-2</v>
      </c>
    </row>
    <row r="509" spans="1:3" x14ac:dyDescent="0.25">
      <c r="A509">
        <f t="shared" si="105"/>
        <v>27.674999999999351</v>
      </c>
      <c r="B509">
        <f t="shared" si="103"/>
        <v>1.8516713063583289E-2</v>
      </c>
      <c r="C509">
        <f t="shared" si="104"/>
        <v>5.4141004241820861E-2</v>
      </c>
    </row>
    <row r="510" spans="1:3" x14ac:dyDescent="0.25">
      <c r="A510">
        <f t="shared" si="105"/>
        <v>27.699999999999349</v>
      </c>
      <c r="B510">
        <f t="shared" si="103"/>
        <v>1.8047160634653895E-2</v>
      </c>
      <c r="C510">
        <f t="shared" si="104"/>
        <v>5.2809568406240723E-2</v>
      </c>
    </row>
    <row r="511" spans="1:3" x14ac:dyDescent="0.25">
      <c r="A511">
        <f t="shared" si="105"/>
        <v>27.724999999999348</v>
      </c>
      <c r="B511">
        <f t="shared" si="103"/>
        <v>1.7587034416970713E-2</v>
      </c>
      <c r="C511">
        <f t="shared" si="104"/>
        <v>5.1499994062498652E-2</v>
      </c>
    </row>
    <row r="512" spans="1:3" x14ac:dyDescent="0.25">
      <c r="A512">
        <f t="shared" si="105"/>
        <v>27.749999999999346</v>
      </c>
      <c r="B512">
        <f t="shared" si="103"/>
        <v>1.7136222220717669E-2</v>
      </c>
      <c r="C512">
        <f t="shared" si="104"/>
        <v>5.0212285498560945E-2</v>
      </c>
    </row>
    <row r="513" spans="1:3" x14ac:dyDescent="0.25">
      <c r="A513">
        <f t="shared" si="105"/>
        <v>27.774999999999345</v>
      </c>
      <c r="B513">
        <f t="shared" si="103"/>
        <v>1.6694610833715543E-2</v>
      </c>
      <c r="C513">
        <f t="shared" si="104"/>
        <v>4.8946433212289309E-2</v>
      </c>
    </row>
    <row r="514" spans="1:3" x14ac:dyDescent="0.25">
      <c r="A514">
        <f t="shared" si="105"/>
        <v>27.799999999999343</v>
      </c>
      <c r="B514">
        <f t="shared" si="103"/>
        <v>1.6262086110673049E-2</v>
      </c>
      <c r="C514">
        <f t="shared" si="104"/>
        <v>4.7702414264153184E-2</v>
      </c>
    </row>
    <row r="515" spans="1:3" x14ac:dyDescent="0.25">
      <c r="A515">
        <f t="shared" si="105"/>
        <v>27.824999999999342</v>
      </c>
      <c r="B515">
        <f t="shared" ref="B515:B578" si="106">_xlfn.NORM.DIST(A515,23.135,2.105,0)</f>
        <v>1.5838533060793681E-2</v>
      </c>
      <c r="C515">
        <f t="shared" ref="C515:C578" si="107">_xlfn.NORM.DIST(A515,24.741,1.72,0)</f>
        <v>4.6480192635099726E-2</v>
      </c>
    </row>
    <row r="516" spans="1:3" x14ac:dyDescent="0.25">
      <c r="A516">
        <f t="shared" si="105"/>
        <v>27.849999999999341</v>
      </c>
      <c r="B516">
        <f t="shared" si="106"/>
        <v>1.542383593370745E-2</v>
      </c>
      <c r="C516">
        <f t="shared" si="107"/>
        <v>4.527971958900346E-2</v>
      </c>
    </row>
    <row r="517" spans="1:3" x14ac:dyDescent="0.25">
      <c r="A517">
        <f t="shared" si="105"/>
        <v>27.874999999999339</v>
      </c>
      <c r="B517">
        <f t="shared" si="106"/>
        <v>1.5017878303699177E-2</v>
      </c>
      <c r="C517">
        <f t="shared" si="107"/>
        <v>4.4100934039126294E-2</v>
      </c>
    </row>
    <row r="518" spans="1:3" x14ac:dyDescent="0.25">
      <c r="A518">
        <f>A517+0.025</f>
        <v>27.899999999999338</v>
      </c>
      <c r="B518">
        <f t="shared" si="106"/>
        <v>1.4620543152207326E-2</v>
      </c>
      <c r="C518">
        <f t="shared" si="107"/>
        <v>4.2943762918026138E-2</v>
      </c>
    </row>
    <row r="519" spans="1:3" x14ac:dyDescent="0.25">
      <c r="A519">
        <f t="shared" ref="A519:A535" si="108">A518+0.025</f>
        <v>27.924999999999336</v>
      </c>
      <c r="B519">
        <f t="shared" si="106"/>
        <v>1.4231712948569786E-2</v>
      </c>
      <c r="C519">
        <f t="shared" si="107"/>
        <v>4.1808121550362759E-2</v>
      </c>
    </row>
    <row r="520" spans="1:3" x14ac:dyDescent="0.25">
      <c r="A520">
        <f t="shared" si="108"/>
        <v>27.949999999999335</v>
      </c>
      <c r="B520">
        <f t="shared" si="106"/>
        <v>1.3851269728995336E-2</v>
      </c>
      <c r="C520">
        <f t="shared" si="107"/>
        <v>4.0693914028058921E-2</v>
      </c>
    </row>
    <row r="521" spans="1:3" x14ac:dyDescent="0.25">
      <c r="A521">
        <f t="shared" si="108"/>
        <v>27.974999999999334</v>
      </c>
      <c r="B521">
        <f t="shared" si="106"/>
        <v>1.347909517374183E-2</v>
      </c>
      <c r="C521">
        <f t="shared" si="107"/>
        <v>3.9601033587286109E-2</v>
      </c>
    </row>
    <row r="522" spans="1:3" x14ac:dyDescent="0.25">
      <c r="A522">
        <f t="shared" si="108"/>
        <v>27.999999999999332</v>
      </c>
      <c r="B522">
        <f t="shared" si="106"/>
        <v>1.3115070682484176E-2</v>
      </c>
      <c r="C522">
        <f t="shared" si="107"/>
        <v>3.8529362986754863E-2</v>
      </c>
    </row>
    <row r="523" spans="1:3" x14ac:dyDescent="0.25">
      <c r="A523">
        <f t="shared" si="108"/>
        <v>28.024999999999331</v>
      </c>
      <c r="B523">
        <f t="shared" si="106"/>
        <v>1.275907744785785E-2</v>
      </c>
      <c r="C523">
        <f t="shared" si="107"/>
        <v>3.7478774886802256E-2</v>
      </c>
    </row>
    <row r="524" spans="1:3" x14ac:dyDescent="0.25">
      <c r="A524">
        <f t="shared" si="108"/>
        <v>28.049999999999329</v>
      </c>
      <c r="B524">
        <f t="shared" si="106"/>
        <v>1.241099652716535E-2</v>
      </c>
      <c r="C524">
        <f t="shared" si="107"/>
        <v>3.6449132228781093E-2</v>
      </c>
    </row>
    <row r="525" spans="1:3" x14ac:dyDescent="0.25">
      <c r="A525">
        <f t="shared" si="108"/>
        <v>28.074999999999328</v>
      </c>
      <c r="B525">
        <f t="shared" si="106"/>
        <v>1.2070708912235453E-2</v>
      </c>
      <c r="C525">
        <f t="shared" si="107"/>
        <v>3.5440288614268269E-2</v>
      </c>
    </row>
    <row r="526" spans="1:3" x14ac:dyDescent="0.25">
      <c r="A526">
        <f t="shared" si="108"/>
        <v>28.099999999999326</v>
      </c>
      <c r="B526">
        <f t="shared" si="106"/>
        <v>1.1738095597427094E-2</v>
      </c>
      <c r="C526">
        <f t="shared" si="107"/>
        <v>3.44520886836234E-2</v>
      </c>
    </row>
    <row r="527" spans="1:3" x14ac:dyDescent="0.25">
      <c r="A527">
        <f t="shared" si="108"/>
        <v>28.124999999999325</v>
      </c>
      <c r="B527">
        <f t="shared" si="106"/>
        <v>1.1413037645771689E-2</v>
      </c>
      <c r="C527">
        <f t="shared" si="107"/>
        <v>3.3484368493442454E-2</v>
      </c>
    </row>
    <row r="528" spans="1:3" x14ac:dyDescent="0.25">
      <c r="A528">
        <f t="shared" si="108"/>
        <v>28.149999999999324</v>
      </c>
      <c r="B528">
        <f t="shared" si="106"/>
        <v>1.1095416253249772E-2</v>
      </c>
      <c r="C528">
        <f t="shared" si="107"/>
        <v>3.2536955892465115E-2</v>
      </c>
    </row>
    <row r="529" spans="1:3" x14ac:dyDescent="0.25">
      <c r="A529">
        <f t="shared" si="108"/>
        <v>28.174999999999322</v>
      </c>
      <c r="B529">
        <f t="shared" si="106"/>
        <v>1.078511281119969E-2</v>
      </c>
      <c r="C529">
        <f t="shared" si="107"/>
        <v>3.1609670895509395E-2</v>
      </c>
    </row>
    <row r="530" spans="1:3" x14ac:dyDescent="0.25">
      <c r="A530">
        <f t="shared" si="108"/>
        <v>28.199999999999321</v>
      </c>
      <c r="B530">
        <f t="shared" si="106"/>
        <v>1.0482008966858095E-2</v>
      </c>
      <c r="C530">
        <f t="shared" si="107"/>
        <v>3.0702326055021757E-2</v>
      </c>
    </row>
    <row r="531" spans="1:3" x14ac:dyDescent="0.25">
      <c r="A531">
        <f t="shared" si="108"/>
        <v>28.224999999999319</v>
      </c>
      <c r="B531">
        <f t="shared" si="106"/>
        <v>1.018598668203353E-2</v>
      </c>
      <c r="C531">
        <f t="shared" si="107"/>
        <v>2.9814726829845879E-2</v>
      </c>
    </row>
    <row r="532" spans="1:3" x14ac:dyDescent="0.25">
      <c r="A532">
        <f t="shared" si="108"/>
        <v>28.249999999999318</v>
      </c>
      <c r="B532">
        <f t="shared" si="106"/>
        <v>9.8969282899165727E-3</v>
      </c>
      <c r="C532">
        <f t="shared" si="107"/>
        <v>2.894667195082886E-2</v>
      </c>
    </row>
    <row r="533" spans="1:3" x14ac:dyDescent="0.25">
      <c r="A533">
        <f t="shared" si="108"/>
        <v>28.274999999999316</v>
      </c>
      <c r="B533">
        <f t="shared" si="106"/>
        <v>9.6147165500313405E-3</v>
      </c>
      <c r="C533">
        <f t="shared" si="107"/>
        <v>2.8097953782898723E-2</v>
      </c>
    </row>
    <row r="534" spans="1:3" x14ac:dyDescent="0.25">
      <c r="A534">
        <f t="shared" si="108"/>
        <v>28.299999999999315</v>
      </c>
      <c r="B534">
        <f t="shared" si="106"/>
        <v>9.3392347013351203E-3</v>
      </c>
      <c r="C534">
        <f t="shared" si="107"/>
        <v>2.7268358683263563E-2</v>
      </c>
    </row>
    <row r="535" spans="1:3" x14ac:dyDescent="0.25">
      <c r="A535">
        <f t="shared" si="108"/>
        <v>28.324999999999314</v>
      </c>
      <c r="B535">
        <f t="shared" si="106"/>
        <v>9.0703665134743237E-3</v>
      </c>
      <c r="C535">
        <f t="shared" si="107"/>
        <v>2.6457667355397011E-2</v>
      </c>
    </row>
    <row r="536" spans="1:3" x14ac:dyDescent="0.25">
      <c r="A536">
        <f>A535+0.025</f>
        <v>28.349999999999312</v>
      </c>
      <c r="B536">
        <f t="shared" si="106"/>
        <v>8.8079963362065888E-3</v>
      </c>
      <c r="C536">
        <f t="shared" si="107"/>
        <v>2.5665655198492753E-2</v>
      </c>
    </row>
    <row r="537" spans="1:3" x14ac:dyDescent="0.25">
      <c r="A537">
        <f t="shared" ref="A537:A553" si="109">A536+0.025</f>
        <v>28.374999999999311</v>
      </c>
      <c r="B537">
        <f t="shared" si="106"/>
        <v>8.5520091470003782E-3</v>
      </c>
      <c r="C537">
        <f t="shared" si="107"/>
        <v>2.4892092652084551E-2</v>
      </c>
    </row>
    <row r="538" spans="1:3" x14ac:dyDescent="0.25">
      <c r="A538">
        <f t="shared" si="109"/>
        <v>28.399999999999309</v>
      </c>
      <c r="B538">
        <f t="shared" si="106"/>
        <v>8.3022905968247913E-3</v>
      </c>
      <c r="C538">
        <f t="shared" si="107"/>
        <v>2.413674553554564E-2</v>
      </c>
    </row>
    <row r="539" spans="1:3" x14ac:dyDescent="0.25">
      <c r="A539">
        <f t="shared" si="109"/>
        <v>28.424999999999308</v>
      </c>
      <c r="B539">
        <f t="shared" si="106"/>
        <v>8.058727054143856E-3</v>
      </c>
      <c r="C539">
        <f t="shared" si="107"/>
        <v>2.3399375382197406E-2</v>
      </c>
    </row>
    <row r="540" spans="1:3" x14ac:dyDescent="0.25">
      <c r="A540">
        <f t="shared" si="109"/>
        <v>28.449999999999307</v>
      </c>
      <c r="B540">
        <f t="shared" si="106"/>
        <v>7.8212056471306558E-3</v>
      </c>
      <c r="C540">
        <f t="shared" si="107"/>
        <v>2.267973976777201E-2</v>
      </c>
    </row>
    <row r="541" spans="1:3" x14ac:dyDescent="0.25">
      <c r="A541">
        <f t="shared" si="109"/>
        <v>28.474999999999305</v>
      </c>
      <c r="B541">
        <f t="shared" si="106"/>
        <v>7.5896143041181766E-3</v>
      </c>
      <c r="C541">
        <f t="shared" si="107"/>
        <v>2.1977592632991056E-2</v>
      </c>
    </row>
    <row r="542" spans="1:3" x14ac:dyDescent="0.25">
      <c r="A542">
        <f t="shared" si="109"/>
        <v>28.499999999999304</v>
      </c>
      <c r="B542">
        <f t="shared" si="106"/>
        <v>7.3638417923048601E-3</v>
      </c>
      <c r="C542">
        <f t="shared" si="107"/>
        <v>2.1292684600037071E-2</v>
      </c>
    </row>
    <row r="543" spans="1:3" x14ac:dyDescent="0.25">
      <c r="A543">
        <f t="shared" si="109"/>
        <v>28.524999999999302</v>
      </c>
      <c r="B543">
        <f t="shared" si="106"/>
        <v>7.1437777547339832E-3</v>
      </c>
      <c r="C543">
        <f t="shared" si="107"/>
        <v>2.0624763282711091E-2</v>
      </c>
    </row>
    <row r="544" spans="1:3" x14ac:dyDescent="0.25">
      <c r="A544">
        <f t="shared" si="109"/>
        <v>28.549999999999301</v>
      </c>
      <c r="B544">
        <f t="shared" si="106"/>
        <v>6.929312745567213E-3</v>
      </c>
      <c r="C544">
        <f t="shared" si="107"/>
        <v>1.9973573590084458E-2</v>
      </c>
    </row>
    <row r="545" spans="1:3" x14ac:dyDescent="0.25">
      <c r="A545">
        <f t="shared" si="109"/>
        <v>28.574999999999299</v>
      </c>
      <c r="B545">
        <f t="shared" si="106"/>
        <v>6.7203382636736213E-3</v>
      </c>
      <c r="C545">
        <f t="shared" si="107"/>
        <v>1.9338858023469133E-2</v>
      </c>
    </row>
    <row r="546" spans="1:3" x14ac:dyDescent="0.25">
      <c r="A546">
        <f t="shared" si="109"/>
        <v>28.599999999999298</v>
      </c>
      <c r="B546">
        <f t="shared" si="106"/>
        <v>6.5167467845565494E-3</v>
      </c>
      <c r="C546">
        <f t="shared" si="107"/>
        <v>1.8720356966545559E-2</v>
      </c>
    </row>
    <row r="547" spans="1:3" x14ac:dyDescent="0.25">
      <c r="A547">
        <f t="shared" si="109"/>
        <v>28.624999999999297</v>
      </c>
      <c r="B547">
        <f t="shared" si="106"/>
        <v>6.3184317906415481E-3</v>
      </c>
      <c r="C547">
        <f t="shared" si="107"/>
        <v>1.8117808968502042E-2</v>
      </c>
    </row>
    <row r="548" spans="1:3" x14ac:dyDescent="0.25">
      <c r="A548">
        <f t="shared" si="109"/>
        <v>28.649999999999295</v>
      </c>
      <c r="B548">
        <f t="shared" si="106"/>
        <v>6.1252877999496734E-3</v>
      </c>
      <c r="C548">
        <f t="shared" si="107"/>
        <v>1.7530951020055027E-2</v>
      </c>
    </row>
    <row r="549" spans="1:3" x14ac:dyDescent="0.25">
      <c r="A549">
        <f t="shared" si="109"/>
        <v>28.674999999999294</v>
      </c>
      <c r="B549">
        <f t="shared" si="106"/>
        <v>5.9372103931810589E-3</v>
      </c>
      <c r="C549">
        <f t="shared" si="107"/>
        <v>1.6959518822233399E-2</v>
      </c>
    </row>
    <row r="550" spans="1:3" x14ac:dyDescent="0.25">
      <c r="A550">
        <f t="shared" si="109"/>
        <v>28.699999999999292</v>
      </c>
      <c r="B550">
        <f t="shared" si="106"/>
        <v>5.7540962392346011E-3</v>
      </c>
      <c r="C550">
        <f t="shared" si="107"/>
        <v>1.6403247047824612E-2</v>
      </c>
    </row>
    <row r="551" spans="1:3" x14ac:dyDescent="0.25">
      <c r="A551">
        <f t="shared" si="109"/>
        <v>28.724999999999291</v>
      </c>
      <c r="B551">
        <f t="shared" si="106"/>
        <v>5.575843119190343E-3</v>
      </c>
      <c r="C551">
        <f t="shared" si="107"/>
        <v>1.5861869595394769E-2</v>
      </c>
    </row>
    <row r="552" spans="1:3" x14ac:dyDescent="0.25">
      <c r="A552">
        <f t="shared" si="109"/>
        <v>28.749999999999289</v>
      </c>
      <c r="B552">
        <f t="shared" si="106"/>
        <v>5.4023499487817171E-3</v>
      </c>
      <c r="C552">
        <f t="shared" si="107"/>
        <v>1.5335119835807362E-2</v>
      </c>
    </row>
    <row r="553" spans="1:3" x14ac:dyDescent="0.25">
      <c r="A553">
        <f t="shared" si="109"/>
        <v>28.774999999999288</v>
      </c>
      <c r="B553">
        <f t="shared" si="106"/>
        <v>5.2335167993855297E-3</v>
      </c>
      <c r="C553">
        <f t="shared" si="107"/>
        <v>1.4822730851180166E-2</v>
      </c>
    </row>
    <row r="554" spans="1:3" x14ac:dyDescent="0.25">
      <c r="A554">
        <f>A553+0.025</f>
        <v>28.799999999999287</v>
      </c>
      <c r="B554">
        <f t="shared" si="106"/>
        <v>5.0692449175581073E-3</v>
      </c>
      <c r="C554">
        <f t="shared" si="107"/>
        <v>1.4324435666231381E-2</v>
      </c>
    </row>
    <row r="555" spans="1:3" x14ac:dyDescent="0.25">
      <c r="A555">
        <f t="shared" ref="A555:A571" si="110">A554+0.025</f>
        <v>28.824999999999285</v>
      </c>
      <c r="B555">
        <f t="shared" si="106"/>
        <v>4.9094367431465787E-3</v>
      </c>
      <c r="C555">
        <f t="shared" si="107"/>
        <v>1.3839967471980026E-2</v>
      </c>
    </row>
    <row r="556" spans="1:3" x14ac:dyDescent="0.25">
      <c r="A556">
        <f t="shared" si="110"/>
        <v>28.849999999999284</v>
      </c>
      <c r="B556">
        <f t="shared" si="106"/>
        <v>4.7539959260046848E-3</v>
      </c>
      <c r="C556">
        <f t="shared" si="107"/>
        <v>1.3369059841776809E-2</v>
      </c>
    </row>
    <row r="557" spans="1:3" x14ac:dyDescent="0.25">
      <c r="A557">
        <f t="shared" si="110"/>
        <v>28.874999999999282</v>
      </c>
      <c r="B557">
        <f t="shared" si="106"/>
        <v>4.6028273413431077E-3</v>
      </c>
      <c r="C557">
        <f t="shared" si="107"/>
        <v>1.2911446939654365E-2</v>
      </c>
    </row>
    <row r="558" spans="1:3" x14ac:dyDescent="0.25">
      <c r="A558">
        <f t="shared" si="110"/>
        <v>28.899999999999281</v>
      </c>
      <c r="B558">
        <f t="shared" si="106"/>
        <v>4.4558371037444278E-3</v>
      </c>
      <c r="C558">
        <f t="shared" si="107"/>
        <v>1.246686372099721E-2</v>
      </c>
    </row>
    <row r="559" spans="1:3" x14ac:dyDescent="0.25">
      <c r="A559">
        <f t="shared" si="110"/>
        <v>28.92499999999928</v>
      </c>
      <c r="B559">
        <f t="shared" si="106"/>
        <v>4.3129325798734333E-3</v>
      </c>
      <c r="C559">
        <f t="shared" si="107"/>
        <v>1.2035046125542258E-2</v>
      </c>
    </row>
    <row r="560" spans="1:3" x14ac:dyDescent="0.25">
      <c r="A560">
        <f t="shared" si="110"/>
        <v>28.949999999999278</v>
      </c>
      <c r="B560">
        <f t="shared" si="106"/>
        <v>4.1740223999136338E-3</v>
      </c>
      <c r="C560">
        <f t="shared" si="107"/>
        <v>1.1615731262732638E-2</v>
      </c>
    </row>
    <row r="561" spans="1:3" x14ac:dyDescent="0.25">
      <c r="A561">
        <f t="shared" si="110"/>
        <v>28.974999999999277</v>
      </c>
      <c r="B561">
        <f t="shared" si="106"/>
        <v>4.0390164677611331E-3</v>
      </c>
      <c r="C561">
        <f t="shared" si="107"/>
        <v>1.1208657589456703E-2</v>
      </c>
    </row>
    <row r="562" spans="1:3" x14ac:dyDescent="0.25">
      <c r="A562">
        <f t="shared" si="110"/>
        <v>28.999999999999275</v>
      </c>
      <c r="B562">
        <f t="shared" si="106"/>
        <v>3.907825970007237E-3</v>
      </c>
      <c r="C562">
        <f t="shared" si="107"/>
        <v>1.0813565080214971E-2</v>
      </c>
    </row>
    <row r="563" spans="1:3" x14ac:dyDescent="0.25">
      <c r="A563">
        <f t="shared" si="110"/>
        <v>29.024999999999274</v>
      </c>
      <c r="B563">
        <f t="shared" si="106"/>
        <v>3.780363383741311E-3</v>
      </c>
      <c r="C563">
        <f t="shared" si="107"/>
        <v>1.043019538976688E-2</v>
      </c>
    </row>
    <row r="564" spans="1:3" x14ac:dyDescent="0.25">
      <c r="A564">
        <f t="shared" si="110"/>
        <v>29.049999999999272</v>
      </c>
      <c r="B564">
        <f t="shared" si="106"/>
        <v>3.6565424832055802E-3</v>
      </c>
      <c r="C564">
        <f t="shared" si="107"/>
        <v>1.0058292008318159E-2</v>
      </c>
    </row>
    <row r="565" spans="1:3" x14ac:dyDescent="0.25">
      <c r="A565">
        <f t="shared" si="110"/>
        <v>29.074999999999271</v>
      </c>
      <c r="B565">
        <f t="shared" si="106"/>
        <v>3.5362783453335559E-3</v>
      </c>
      <c r="C565">
        <f t="shared" si="107"/>
        <v>9.697600409318937E-3</v>
      </c>
    </row>
    <row r="566" spans="1:3" x14ac:dyDescent="0.25">
      <c r="A566">
        <f t="shared" si="110"/>
        <v>29.09999999999927</v>
      </c>
      <c r="B566">
        <f t="shared" si="106"/>
        <v>3.419487354203984E-3</v>
      </c>
      <c r="C566">
        <f t="shared" si="107"/>
        <v>9.3478681899501048E-3</v>
      </c>
    </row>
    <row r="567" spans="1:3" x14ac:dyDescent="0.25">
      <c r="A567">
        <f t="shared" si="110"/>
        <v>29.124999999999268</v>
      </c>
      <c r="B567">
        <f t="shared" si="106"/>
        <v>3.306087204442035E-3</v>
      </c>
      <c r="C567">
        <f t="shared" si="107"/>
        <v>9.0088452043842349E-3</v>
      </c>
    </row>
    <row r="568" spans="1:3" x14ac:dyDescent="0.25">
      <c r="A568">
        <f t="shared" si="110"/>
        <v>29.149999999999267</v>
      </c>
      <c r="B568">
        <f t="shared" si="106"/>
        <v>3.195996903599581E-3</v>
      </c>
      <c r="C568">
        <f t="shared" si="107"/>
        <v>8.6802836899139129E-3</v>
      </c>
    </row>
    <row r="569" spans="1:3" x14ac:dyDescent="0.25">
      <c r="A569">
        <f t="shared" si="110"/>
        <v>29.174999999999265</v>
      </c>
      <c r="B569">
        <f t="shared" si="106"/>
        <v>3.0891367735462754E-3</v>
      </c>
      <c r="C569">
        <f t="shared" si="107"/>
        <v>8.3619383860479655E-3</v>
      </c>
    </row>
    <row r="570" spans="1:3" x14ac:dyDescent="0.25">
      <c r="A570">
        <f t="shared" si="110"/>
        <v>29.199999999999264</v>
      </c>
      <c r="B570">
        <f t="shared" si="106"/>
        <v>2.9854284509030983E-3</v>
      </c>
      <c r="C570">
        <f t="shared" si="107"/>
        <v>8.053566646682395E-3</v>
      </c>
    </row>
    <row r="571" spans="1:3" x14ac:dyDescent="0.25">
      <c r="A571">
        <f t="shared" si="110"/>
        <v>29.224999999999262</v>
      </c>
      <c r="B571">
        <f t="shared" si="106"/>
        <v>2.8847948865498513E-3</v>
      </c>
      <c r="C571">
        <f t="shared" si="107"/>
        <v>7.7549285454589041E-3</v>
      </c>
    </row>
    <row r="572" spans="1:3" x14ac:dyDescent="0.25">
      <c r="A572">
        <f>A571+0.025</f>
        <v>29.249999999999261</v>
      </c>
      <c r="B572">
        <f t="shared" si="106"/>
        <v>2.7871603442380273E-3</v>
      </c>
      <c r="C572">
        <f t="shared" si="107"/>
        <v>7.4657869744299606E-3</v>
      </c>
    </row>
    <row r="573" spans="1:3" x14ac:dyDescent="0.25">
      <c r="A573">
        <f t="shared" ref="A573:A581" si="111">A572+0.025</f>
        <v>29.27499999999926</v>
      </c>
      <c r="B573">
        <f t="shared" si="106"/>
        <v>2.6924503983401927E-3</v>
      </c>
      <c r="C573">
        <f t="shared" si="107"/>
        <v>7.1859077361542886E-3</v>
      </c>
    </row>
    <row r="574" spans="1:3" x14ac:dyDescent="0.25">
      <c r="A574">
        <f t="shared" si="111"/>
        <v>29.299999999999258</v>
      </c>
      <c r="B574">
        <f t="shared" si="106"/>
        <v>2.6005919307668631E-3</v>
      </c>
      <c r="C574">
        <f t="shared" si="107"/>
        <v>6.9150596293519927E-3</v>
      </c>
    </row>
    <row r="575" spans="1:3" x14ac:dyDescent="0.25">
      <c r="A575">
        <f t="shared" si="111"/>
        <v>29.324999999999257</v>
      </c>
      <c r="B575">
        <f t="shared" si="106"/>
        <v>2.5115131270816798E-3</v>
      </c>
      <c r="C575">
        <f t="shared" si="107"/>
        <v>6.6530145282528777E-3</v>
      </c>
    </row>
    <row r="576" spans="1:3" x14ac:dyDescent="0.25">
      <c r="A576">
        <f t="shared" si="111"/>
        <v>29.349999999999255</v>
      </c>
      <c r="B576">
        <f t="shared" si="106"/>
        <v>2.4251434718452385E-3</v>
      </c>
      <c r="C576">
        <f t="shared" si="107"/>
        <v>6.3995474557756093E-3</v>
      </c>
    </row>
    <row r="577" spans="1:3" x14ac:dyDescent="0.25">
      <c r="A577">
        <f t="shared" si="111"/>
        <v>29.374999999999254</v>
      </c>
      <c r="B577">
        <f t="shared" si="106"/>
        <v>2.3414137432178636E-3</v>
      </c>
      <c r="C577">
        <f t="shared" si="107"/>
        <v>6.1544366506794202E-3</v>
      </c>
    </row>
    <row r="578" spans="1:3" x14ac:dyDescent="0.25">
      <c r="A578">
        <f t="shared" si="111"/>
        <v>29.399999999999253</v>
      </c>
      <c r="B578">
        <f t="shared" si="106"/>
        <v>2.2602560068511511E-3</v>
      </c>
      <c r="C578">
        <f t="shared" si="107"/>
        <v>5.9174636288330321E-3</v>
      </c>
    </row>
    <row r="579" spans="1:3" x14ac:dyDescent="0.25">
      <c r="A579">
        <f t="shared" si="111"/>
        <v>29.424999999999251</v>
      </c>
      <c r="B579">
        <f t="shared" ref="B579:B602" si="112">_xlfn.NORM.DIST(A579,23.135,2.105,0)</f>
        <v>2.1816036090978089E-3</v>
      </c>
      <c r="C579">
        <f t="shared" ref="C579:C602" si="113">_xlfn.NORM.DIST(A579,24.741,1.72,0)</f>
        <v>5.6884132387490065E-3</v>
      </c>
    </row>
    <row r="580" spans="1:3" x14ac:dyDescent="0.25">
      <c r="A580">
        <f t="shared" si="111"/>
        <v>29.44999999999925</v>
      </c>
      <c r="B580">
        <f t="shared" si="112"/>
        <v>2.105391169569005E-3</v>
      </c>
      <c r="C580">
        <f t="shared" si="113"/>
        <v>5.4670737115338789E-3</v>
      </c>
    </row>
    <row r="581" spans="1:3" x14ac:dyDescent="0.25">
      <c r="A581">
        <f t="shared" si="111"/>
        <v>29.474999999999248</v>
      </c>
      <c r="B581">
        <f t="shared" si="112"/>
        <v>2.0315545730679985E-3</v>
      </c>
      <c r="C581">
        <f t="shared" si="113"/>
        <v>5.253236705407123E-3</v>
      </c>
    </row>
    <row r="582" spans="1:3" x14ac:dyDescent="0.25">
      <c r="A582">
        <f>A581+0.025</f>
        <v>29.499999999999247</v>
      </c>
      <c r="B582">
        <f t="shared" si="112"/>
        <v>1.9600309609284832E-3</v>
      </c>
      <c r="C582">
        <f t="shared" si="113"/>
        <v>5.046697344943854E-3</v>
      </c>
    </row>
    <row r="583" spans="1:3" x14ac:dyDescent="0.25">
      <c r="A583">
        <f t="shared" ref="A583:A593" si="114">A582+0.025</f>
        <v>29.524999999999245</v>
      </c>
      <c r="B583">
        <f t="shared" si="112"/>
        <v>1.890758721785633E-3</v>
      </c>
      <c r="C583">
        <f t="shared" si="113"/>
        <v>4.8472542551976716E-3</v>
      </c>
    </row>
    <row r="584" spans="1:3" x14ac:dyDescent="0.25">
      <c r="A584">
        <f t="shared" si="114"/>
        <v>29.549999999999244</v>
      </c>
      <c r="B584">
        <f t="shared" si="112"/>
        <v>1.8236774818073827E-3</v>
      </c>
      <c r="C584">
        <f t="shared" si="113"/>
        <v>4.6547095908616477E-3</v>
      </c>
    </row>
    <row r="585" spans="1:3" x14ac:dyDescent="0.25">
      <c r="A585">
        <f t="shared" si="114"/>
        <v>29.574999999999243</v>
      </c>
      <c r="B585">
        <f t="shared" si="112"/>
        <v>1.7587280944131453E-3</v>
      </c>
      <c r="C585">
        <f t="shared" si="113"/>
        <v>4.4688690606261182E-3</v>
      </c>
    </row>
    <row r="586" spans="1:3" x14ac:dyDescent="0.25">
      <c r="A586">
        <f t="shared" si="114"/>
        <v>29.599999999999241</v>
      </c>
      <c r="B586">
        <f t="shared" si="112"/>
        <v>1.6958526295065232E-3</v>
      </c>
      <c r="C586">
        <f t="shared" si="113"/>
        <v>4.2895419468930111E-3</v>
      </c>
    </row>
    <row r="587" spans="1:3" x14ac:dyDescent="0.25">
      <c r="A587">
        <f t="shared" si="114"/>
        <v>29.62499999999924</v>
      </c>
      <c r="B587">
        <f t="shared" si="112"/>
        <v>1.6349943622482863E-3</v>
      </c>
      <c r="C587">
        <f t="shared" si="113"/>
        <v>4.1165411210065039E-3</v>
      </c>
    </row>
    <row r="588" spans="1:3" x14ac:dyDescent="0.25">
      <c r="A588">
        <f t="shared" si="114"/>
        <v>29.649999999999238</v>
      </c>
      <c r="B588">
        <f t="shared" si="112"/>
        <v>1.5760977613952728E-3</v>
      </c>
      <c r="C588">
        <f t="shared" si="113"/>
        <v>3.9496830541601562E-3</v>
      </c>
    </row>
    <row r="589" spans="1:3" x14ac:dyDescent="0.25">
      <c r="A589">
        <f t="shared" si="114"/>
        <v>29.674999999999237</v>
      </c>
      <c r="B589">
        <f t="shared" si="112"/>
        <v>1.5191084772304374E-3</v>
      </c>
      <c r="C589">
        <f t="shared" si="113"/>
        <v>3.788787824140482E-3</v>
      </c>
    </row>
    <row r="590" spans="1:3" x14ac:dyDescent="0.25">
      <c r="A590">
        <f t="shared" si="114"/>
        <v>29.699999999999235</v>
      </c>
      <c r="B590">
        <f t="shared" si="112"/>
        <v>1.4639733291087465E-3</v>
      </c>
      <c r="C590">
        <f t="shared" si="113"/>
        <v>3.6336791180664177E-3</v>
      </c>
    </row>
    <row r="591" spans="1:3" x14ac:dyDescent="0.25">
      <c r="A591">
        <f t="shared" si="114"/>
        <v>29.724999999999234</v>
      </c>
      <c r="B591">
        <f t="shared" si="112"/>
        <v>1.4106402926430965E-3</v>
      </c>
      <c r="C591">
        <f t="shared" si="113"/>
        <v>3.4841842312836281E-3</v>
      </c>
    </row>
    <row r="592" spans="1:3" x14ac:dyDescent="0.25">
      <c r="A592">
        <f t="shared" si="114"/>
        <v>29.749999999999233</v>
      </c>
      <c r="B592">
        <f t="shared" si="112"/>
        <v>1.3590584865539291E-3</v>
      </c>
      <c r="C592">
        <f t="shared" si="113"/>
        <v>3.3401340625716157E-3</v>
      </c>
    </row>
    <row r="593" spans="1:3" x14ac:dyDescent="0.25">
      <c r="A593">
        <f t="shared" si="114"/>
        <v>29.774999999999231</v>
      </c>
      <c r="B593">
        <f t="shared" si="112"/>
        <v>1.3091781592056493E-3</v>
      </c>
      <c r="C593">
        <f t="shared" si="113"/>
        <v>3.2013631058205013E-3</v>
      </c>
    </row>
    <row r="594" spans="1:3" x14ac:dyDescent="0.25">
      <c r="A594">
        <f>A593+0.025</f>
        <v>29.79999999999923</v>
      </c>
      <c r="B594">
        <f t="shared" si="112"/>
        <v>1.2609506748524843E-3</v>
      </c>
      <c r="C594">
        <f t="shared" si="113"/>
        <v>3.0677094383331181E-3</v>
      </c>
    </row>
    <row r="595" spans="1:3" x14ac:dyDescent="0.25">
      <c r="A595">
        <f t="shared" ref="A595:A599" si="115">A594+0.025</f>
        <v>29.824999999999228</v>
      </c>
      <c r="B595">
        <f t="shared" si="112"/>
        <v>1.2143284996157782E-3</v>
      </c>
      <c r="C595">
        <f t="shared" si="113"/>
        <v>2.939014705906295E-3</v>
      </c>
    </row>
    <row r="596" spans="1:3" x14ac:dyDescent="0.25">
      <c r="A596">
        <f t="shared" si="115"/>
        <v>29.849999999999227</v>
      </c>
      <c r="B596">
        <f t="shared" si="112"/>
        <v>1.1692651872142552E-3</v>
      </c>
      <c r="C596">
        <f t="shared" si="113"/>
        <v>2.8151241048437986E-3</v>
      </c>
    </row>
    <row r="597" spans="1:3" x14ac:dyDescent="0.25">
      <c r="A597">
        <f t="shared" si="115"/>
        <v>29.874999999999226</v>
      </c>
      <c r="B597">
        <f t="shared" si="112"/>
        <v>1.1257153644682043E-3</v>
      </c>
      <c r="C597">
        <f t="shared" si="113"/>
        <v>2.6958863610512186E-3</v>
      </c>
    </row>
    <row r="598" spans="1:3" x14ac:dyDescent="0.25">
      <c r="A598">
        <f t="shared" si="115"/>
        <v>29.899999999999224</v>
      </c>
      <c r="B598">
        <f t="shared" si="112"/>
        <v>1.0836347165979663E-3</v>
      </c>
      <c r="C598">
        <f t="shared" si="113"/>
        <v>2.5811537063612023E-3</v>
      </c>
    </row>
    <row r="599" spans="1:3" x14ac:dyDescent="0.25">
      <c r="A599">
        <f t="shared" si="115"/>
        <v>29.924999999999223</v>
      </c>
      <c r="B599">
        <f t="shared" si="112"/>
        <v>1.0429799723365727E-3</v>
      </c>
      <c r="C599">
        <f t="shared" si="113"/>
        <v>2.4707818522351072E-3</v>
      </c>
    </row>
    <row r="600" spans="1:3" x14ac:dyDescent="0.25">
      <c r="A600">
        <f>A599+0.025</f>
        <v>29.949999999999221</v>
      </c>
      <c r="B600">
        <f t="shared" si="112"/>
        <v>1.0037088888758211E-3</v>
      </c>
      <c r="C600">
        <f t="shared" si="113"/>
        <v>2.3646299609848057E-3</v>
      </c>
    </row>
    <row r="601" spans="1:3" x14ac:dyDescent="0.25">
      <c r="A601">
        <f t="shared" ref="A601:A602" si="116">A600+0.025</f>
        <v>29.97499999999922</v>
      </c>
      <c r="B601">
        <f t="shared" si="112"/>
        <v>9.6578023666450523E-4</v>
      </c>
      <c r="C601">
        <f t="shared" si="113"/>
        <v>2.2625606146559037E-3</v>
      </c>
    </row>
    <row r="602" spans="1:3" x14ac:dyDescent="0.25">
      <c r="A602">
        <f t="shared" si="116"/>
        <v>29.999999999999218</v>
      </c>
      <c r="B602">
        <f t="shared" si="112"/>
        <v>9.2915378407696714E-4</v>
      </c>
      <c r="C602">
        <f t="shared" si="113"/>
        <v>2.1644397817108477E-3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Normal pdf's</vt:lpstr>
      <vt:lpstr>ROC Curve</vt:lpstr>
    </vt:vector>
  </TitlesOfParts>
  <Company>UF College of Liberal Arts &amp;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Winner,Lawrence Herman</dc:creator>
  <cp:lastModifiedBy>Winner,Lawrence Herman</cp:lastModifiedBy>
  <dcterms:created xsi:type="dcterms:W3CDTF">2015-10-06T12:47:31Z</dcterms:created>
  <dcterms:modified xsi:type="dcterms:W3CDTF">2026-05-06T19:00:16Z</dcterms:modified>
</cp:coreProperties>
</file>